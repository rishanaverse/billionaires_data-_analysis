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1F80CD8-7E43-4881-95B8-58071352FB2A}" xr6:coauthVersionLast="47" xr6:coauthVersionMax="47" xr10:uidLastSave="{00000000-0000-0000-0000-000000000000}"/>
  <bookViews>
    <workbookView xWindow="-108" yWindow="-108" windowWidth="23256" windowHeight="12576" activeTab="2" xr2:uid="{00000000-000D-0000-FFFF-FFFF00000000}"/>
  </bookViews>
  <sheets>
    <sheet name="Billionaries_Data" sheetId="1" r:id="rId1"/>
    <sheet name="Sheet3" sheetId="5" r:id="rId2"/>
    <sheet name="DASH BOARD" sheetId="6" r:id="rId3"/>
    <sheet name="Sheet2" sheetId="4" r:id="rId4"/>
    <sheet name="Sheet1" sheetId="3" r:id="rId5"/>
    <sheet name="DOB" sheetId="2" r:id="rId6"/>
  </sheets>
  <definedNames>
    <definedName name="Slicer_country">#N/A</definedName>
    <definedName name="Slicer_FINAL_WORTH">#N/A</definedName>
    <definedName name="Slicer_industries">#N/A</definedName>
    <definedName name="Slicer_industries1">#N/A</definedName>
    <definedName name="Slicer_PERSON_NAME">#N/A</definedName>
  </definedNames>
  <calcPr calcId="191029"/>
  <pivotCaches>
    <pivotCache cacheId="0" r:id="rId7"/>
    <pivotCache cacheId="3"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3" l="1"/>
  <c r="G4" i="2"/>
  <c r="H4" i="2" s="1"/>
  <c r="I4" i="2" s="1" a="1"/>
  <c r="I4" i="2" s="1"/>
  <c r="G5" i="2"/>
  <c r="H5" i="2" s="1"/>
  <c r="I5" i="2" s="1" a="1"/>
  <c r="I5" i="2" s="1"/>
  <c r="G6" i="2"/>
  <c r="H6" i="2" s="1"/>
  <c r="I6" i="2" s="1" a="1"/>
  <c r="I6" i="2" s="1"/>
  <c r="G7" i="2"/>
  <c r="H7" i="2" s="1"/>
  <c r="I7" i="2" s="1" a="1"/>
  <c r="I7" i="2" s="1"/>
  <c r="G8" i="2"/>
  <c r="H8" i="2" s="1"/>
  <c r="I8" i="2" s="1" a="1"/>
  <c r="I8" i="2" s="1"/>
  <c r="G9" i="2"/>
  <c r="H9" i="2" s="1"/>
  <c r="I9" i="2" s="1" a="1"/>
  <c r="I9" i="2" s="1"/>
  <c r="G10" i="2"/>
  <c r="H10" i="2" s="1"/>
  <c r="I10" i="2" s="1" a="1"/>
  <c r="I10" i="2" s="1"/>
  <c r="G11" i="2"/>
  <c r="H11" i="2" s="1"/>
  <c r="I11" i="2" s="1" a="1"/>
  <c r="I11" i="2" s="1"/>
  <c r="G12" i="2"/>
  <c r="H12" i="2" s="1"/>
  <c r="I12" i="2" s="1" a="1"/>
  <c r="I12" i="2" s="1"/>
  <c r="G13" i="2"/>
  <c r="H13" i="2" s="1"/>
  <c r="I13" i="2" s="1" a="1"/>
  <c r="I13" i="2" s="1"/>
  <c r="G14" i="2"/>
  <c r="H14" i="2" s="1"/>
  <c r="I14" i="2" s="1" a="1"/>
  <c r="I14" i="2" s="1"/>
  <c r="G15" i="2"/>
  <c r="H15" i="2" s="1"/>
  <c r="I15" i="2" s="1" a="1"/>
  <c r="I15" i="2" s="1"/>
  <c r="G16" i="2"/>
  <c r="H16" i="2" s="1"/>
  <c r="I16" i="2" s="1" a="1"/>
  <c r="I16" i="2" s="1"/>
  <c r="G17" i="2"/>
  <c r="H17" i="2" s="1"/>
  <c r="I17" i="2" s="1" a="1"/>
  <c r="I17" i="2" s="1"/>
  <c r="G18" i="2"/>
  <c r="H18" i="2" s="1"/>
  <c r="I18" i="2" s="1" a="1"/>
  <c r="I18" i="2" s="1"/>
  <c r="G19" i="2"/>
  <c r="H19" i="2" s="1"/>
  <c r="I19" i="2" s="1" a="1"/>
  <c r="I19" i="2" s="1"/>
  <c r="G20" i="2"/>
  <c r="H20" i="2" s="1"/>
  <c r="I20" i="2" s="1" a="1"/>
  <c r="I20" i="2" s="1"/>
  <c r="G21" i="2"/>
  <c r="H21" i="2" s="1"/>
  <c r="I21" i="2" s="1" a="1"/>
  <c r="I21" i="2" s="1"/>
  <c r="G22" i="2"/>
  <c r="H22" i="2" s="1"/>
  <c r="I22" i="2" s="1" a="1"/>
  <c r="I22" i="2" s="1"/>
  <c r="G23" i="2"/>
  <c r="H23" i="2" s="1"/>
  <c r="I23" i="2" s="1" a="1"/>
  <c r="I23" i="2" s="1"/>
  <c r="G24" i="2"/>
  <c r="H24" i="2" s="1"/>
  <c r="I24" i="2" s="1" a="1"/>
  <c r="I24" i="2" s="1"/>
  <c r="G25" i="2"/>
  <c r="H25" i="2" s="1"/>
  <c r="I25" i="2" s="1" a="1"/>
  <c r="I25" i="2" s="1"/>
  <c r="G26" i="2"/>
  <c r="H26" i="2" s="1"/>
  <c r="I26" i="2" s="1" a="1"/>
  <c r="I26" i="2" s="1"/>
  <c r="G27" i="2"/>
  <c r="H27" i="2" s="1"/>
  <c r="I27" i="2" s="1" a="1"/>
  <c r="I27" i="2" s="1"/>
  <c r="G28" i="2"/>
  <c r="H28" i="2" s="1"/>
  <c r="I28" i="2" s="1" a="1"/>
  <c r="I28" i="2" s="1"/>
  <c r="G29" i="2"/>
  <c r="H29" i="2" s="1"/>
  <c r="I29" i="2" s="1" a="1"/>
  <c r="I29" i="2" s="1"/>
  <c r="G30" i="2"/>
  <c r="H30" i="2" s="1"/>
  <c r="I30" i="2" s="1" a="1"/>
  <c r="I30" i="2" s="1"/>
  <c r="G31" i="2"/>
  <c r="H31" i="2" s="1"/>
  <c r="I31" i="2" s="1" a="1"/>
  <c r="I31" i="2" s="1"/>
  <c r="G32" i="2"/>
  <c r="H32" i="2" s="1"/>
  <c r="I32" i="2" s="1" a="1"/>
  <c r="I32" i="2" s="1"/>
  <c r="G33" i="2"/>
  <c r="H33" i="2" s="1"/>
  <c r="I33" i="2" s="1" a="1"/>
  <c r="I33" i="2" s="1"/>
  <c r="G34" i="2"/>
  <c r="H34" i="2" s="1"/>
  <c r="I34" i="2" s="1" a="1"/>
  <c r="I34" i="2" s="1"/>
  <c r="G35" i="2"/>
  <c r="H35" i="2" s="1"/>
  <c r="I35" i="2" s="1" a="1"/>
  <c r="I35" i="2" s="1"/>
  <c r="G36" i="2"/>
  <c r="H36" i="2" s="1"/>
  <c r="I36" i="2" s="1" a="1"/>
  <c r="I36" i="2" s="1"/>
  <c r="G37" i="2"/>
  <c r="H37" i="2" s="1"/>
  <c r="I37" i="2" s="1" a="1"/>
  <c r="I37" i="2" s="1"/>
  <c r="G38" i="2"/>
  <c r="H38" i="2" s="1"/>
  <c r="I38" i="2" s="1" a="1"/>
  <c r="I38" i="2" s="1"/>
  <c r="G39" i="2"/>
  <c r="H39" i="2" s="1"/>
  <c r="I39" i="2" s="1" a="1"/>
  <c r="I39" i="2" s="1"/>
  <c r="G40" i="2"/>
  <c r="H40" i="2" s="1"/>
  <c r="I40" i="2" s="1" a="1"/>
  <c r="I40" i="2" s="1"/>
  <c r="G41" i="2"/>
  <c r="H41" i="2" s="1"/>
  <c r="I41" i="2" s="1" a="1"/>
  <c r="I41" i="2" s="1"/>
  <c r="G42" i="2"/>
  <c r="H42" i="2" s="1"/>
  <c r="I42" i="2" s="1" a="1"/>
  <c r="I42" i="2" s="1"/>
  <c r="G43" i="2"/>
  <c r="H43" i="2" s="1"/>
  <c r="I43" i="2" s="1" a="1"/>
  <c r="I43" i="2" s="1"/>
  <c r="G44" i="2"/>
  <c r="H44" i="2" s="1"/>
  <c r="I44" i="2" s="1" a="1"/>
  <c r="I44" i="2" s="1"/>
  <c r="G45" i="2"/>
  <c r="H45" i="2" s="1"/>
  <c r="I45" i="2" s="1" a="1"/>
  <c r="I45" i="2" s="1"/>
  <c r="G46" i="2"/>
  <c r="H46" i="2" s="1"/>
  <c r="I46" i="2" s="1" a="1"/>
  <c r="I46" i="2" s="1"/>
  <c r="G47" i="2"/>
  <c r="H47" i="2" s="1"/>
  <c r="I47" i="2" s="1" a="1"/>
  <c r="I47" i="2" s="1"/>
  <c r="G48" i="2"/>
  <c r="H48" i="2" s="1"/>
  <c r="I48" i="2" s="1" a="1"/>
  <c r="I48" i="2" s="1"/>
  <c r="G49" i="2"/>
  <c r="H49" i="2" s="1"/>
  <c r="I49" i="2" s="1" a="1"/>
  <c r="I49" i="2" s="1"/>
  <c r="G50" i="2"/>
  <c r="H50" i="2" s="1"/>
  <c r="I50" i="2" s="1" a="1"/>
  <c r="I50" i="2" s="1"/>
  <c r="G51" i="2"/>
  <c r="H51" i="2" s="1"/>
  <c r="I51" i="2" s="1" a="1"/>
  <c r="I51" i="2" s="1"/>
  <c r="G52" i="2"/>
  <c r="H52" i="2" s="1"/>
  <c r="I52" i="2" s="1" a="1"/>
  <c r="I52" i="2" s="1"/>
  <c r="G53" i="2"/>
  <c r="H53" i="2" s="1"/>
  <c r="I53" i="2" s="1" a="1"/>
  <c r="I53" i="2" s="1"/>
  <c r="G54" i="2"/>
  <c r="H54" i="2" s="1"/>
  <c r="I54" i="2" s="1" a="1"/>
  <c r="I54" i="2" s="1"/>
  <c r="G55" i="2"/>
  <c r="H55" i="2" s="1"/>
  <c r="I55" i="2" s="1" a="1"/>
  <c r="I55" i="2" s="1"/>
  <c r="G56" i="2"/>
  <c r="H56" i="2" s="1"/>
  <c r="I56" i="2" s="1" a="1"/>
  <c r="I56" i="2" s="1"/>
  <c r="G57" i="2"/>
  <c r="H57" i="2" s="1"/>
  <c r="I57" i="2" s="1" a="1"/>
  <c r="I57" i="2" s="1"/>
  <c r="G58" i="2"/>
  <c r="H58" i="2" s="1"/>
  <c r="I58" i="2" s="1" a="1"/>
  <c r="I58" i="2" s="1"/>
  <c r="G59" i="2"/>
  <c r="H59" i="2" s="1"/>
  <c r="I59" i="2" s="1" a="1"/>
  <c r="I59" i="2" s="1"/>
  <c r="G60" i="2"/>
  <c r="H60" i="2" s="1"/>
  <c r="I60" i="2" s="1" a="1"/>
  <c r="I60" i="2" s="1"/>
  <c r="G61" i="2"/>
  <c r="H61" i="2" s="1"/>
  <c r="I61" i="2" s="1" a="1"/>
  <c r="I61" i="2" s="1"/>
  <c r="G62" i="2"/>
  <c r="H62" i="2" s="1"/>
  <c r="I62" i="2" s="1" a="1"/>
  <c r="I62" i="2" s="1"/>
  <c r="G63" i="2"/>
  <c r="H63" i="2" s="1"/>
  <c r="I63" i="2" s="1" a="1"/>
  <c r="I63" i="2" s="1"/>
  <c r="G64" i="2"/>
  <c r="H64" i="2" s="1"/>
  <c r="I64" i="2" s="1" a="1"/>
  <c r="I64" i="2" s="1"/>
  <c r="G65" i="2"/>
  <c r="H65" i="2" s="1"/>
  <c r="I65" i="2" s="1" a="1"/>
  <c r="I65" i="2" s="1"/>
  <c r="G66" i="2"/>
  <c r="H66" i="2" s="1"/>
  <c r="I66" i="2" s="1" a="1"/>
  <c r="I66" i="2" s="1"/>
  <c r="G67" i="2"/>
  <c r="H67" i="2" s="1"/>
  <c r="I67" i="2" s="1" a="1"/>
  <c r="I67" i="2" s="1"/>
  <c r="G68" i="2"/>
  <c r="H68" i="2" s="1"/>
  <c r="I68" i="2" s="1" a="1"/>
  <c r="I68" i="2" s="1"/>
  <c r="G69" i="2"/>
  <c r="H69" i="2" s="1"/>
  <c r="I69" i="2" s="1" a="1"/>
  <c r="I69" i="2" s="1"/>
  <c r="G70" i="2"/>
  <c r="H70" i="2" s="1"/>
  <c r="I70" i="2" s="1" a="1"/>
  <c r="I70" i="2" s="1"/>
  <c r="G71" i="2"/>
  <c r="H71" i="2" s="1"/>
  <c r="I71" i="2" s="1" a="1"/>
  <c r="I71" i="2" s="1"/>
  <c r="G72" i="2"/>
  <c r="H72" i="2" s="1"/>
  <c r="I72" i="2" s="1" a="1"/>
  <c r="I72" i="2" s="1"/>
  <c r="G73" i="2"/>
  <c r="H73" i="2" s="1"/>
  <c r="I73" i="2" s="1" a="1"/>
  <c r="I73" i="2" s="1"/>
  <c r="G74" i="2"/>
  <c r="H74" i="2" s="1"/>
  <c r="I74" i="2" s="1" a="1"/>
  <c r="I74" i="2" s="1"/>
  <c r="G75" i="2"/>
  <c r="H75" i="2" s="1"/>
  <c r="I75" i="2" s="1" a="1"/>
  <c r="I75" i="2" s="1"/>
  <c r="G76" i="2"/>
  <c r="H76" i="2" s="1"/>
  <c r="I76" i="2" s="1" a="1"/>
  <c r="I76" i="2" s="1"/>
  <c r="G77" i="2"/>
  <c r="H77" i="2" s="1"/>
  <c r="I77" i="2" s="1" a="1"/>
  <c r="I77" i="2" s="1"/>
  <c r="G78" i="2"/>
  <c r="H78" i="2" s="1"/>
  <c r="I78" i="2" s="1" a="1"/>
  <c r="I78" i="2" s="1"/>
  <c r="G79" i="2"/>
  <c r="H79" i="2" s="1"/>
  <c r="I79" i="2" s="1" a="1"/>
  <c r="I79" i="2" s="1"/>
  <c r="G80" i="2"/>
  <c r="H80" i="2" s="1"/>
  <c r="I80" i="2" s="1" a="1"/>
  <c r="I80" i="2" s="1"/>
  <c r="G81" i="2"/>
  <c r="H81" i="2" s="1"/>
  <c r="I81" i="2" s="1" a="1"/>
  <c r="I81" i="2" s="1"/>
  <c r="G82" i="2"/>
  <c r="H82" i="2" s="1"/>
  <c r="I82" i="2" s="1" a="1"/>
  <c r="I82" i="2" s="1"/>
  <c r="G83" i="2"/>
  <c r="H83" i="2" s="1"/>
  <c r="I83" i="2" s="1" a="1"/>
  <c r="I83" i="2" s="1"/>
  <c r="G84" i="2"/>
  <c r="H84" i="2" s="1"/>
  <c r="I84" i="2" s="1" a="1"/>
  <c r="I84" i="2" s="1"/>
  <c r="G85" i="2"/>
  <c r="H85" i="2" s="1"/>
  <c r="I85" i="2" s="1" a="1"/>
  <c r="I85" i="2" s="1"/>
  <c r="G86" i="2"/>
  <c r="H86" i="2" s="1"/>
  <c r="I86" i="2" s="1" a="1"/>
  <c r="I86" i="2" s="1"/>
  <c r="G87" i="2"/>
  <c r="H87" i="2" s="1"/>
  <c r="I87" i="2" s="1" a="1"/>
  <c r="I87" i="2" s="1"/>
  <c r="G88" i="2"/>
  <c r="H88" i="2" s="1"/>
  <c r="I88" i="2" s="1" a="1"/>
  <c r="I88" i="2" s="1"/>
  <c r="G89" i="2"/>
  <c r="H89" i="2" s="1"/>
  <c r="I89" i="2" s="1" a="1"/>
  <c r="I89" i="2" s="1"/>
  <c r="G90" i="2"/>
  <c r="H90" i="2" s="1"/>
  <c r="I90" i="2" s="1" a="1"/>
  <c r="I90" i="2" s="1"/>
  <c r="G91" i="2"/>
  <c r="H91" i="2" s="1"/>
  <c r="I91" i="2" s="1" a="1"/>
  <c r="I91" i="2" s="1"/>
  <c r="G92" i="2"/>
  <c r="H92" i="2" s="1"/>
  <c r="I92" i="2" s="1" a="1"/>
  <c r="I92" i="2" s="1"/>
  <c r="G93" i="2"/>
  <c r="H93" i="2" s="1"/>
  <c r="I93" i="2" s="1" a="1"/>
  <c r="I93" i="2" s="1"/>
  <c r="G94" i="2"/>
  <c r="H94" i="2" s="1"/>
  <c r="I94" i="2" s="1" a="1"/>
  <c r="I94" i="2" s="1"/>
  <c r="G95" i="2"/>
  <c r="H95" i="2" s="1"/>
  <c r="I95" i="2" s="1" a="1"/>
  <c r="I95" i="2" s="1"/>
  <c r="G96" i="2"/>
  <c r="H96" i="2" s="1"/>
  <c r="I96" i="2" s="1" a="1"/>
  <c r="I96" i="2" s="1"/>
  <c r="G97" i="2"/>
  <c r="H97" i="2" s="1"/>
  <c r="I97" i="2" s="1" a="1"/>
  <c r="I97" i="2" s="1"/>
  <c r="G98" i="2"/>
  <c r="H98" i="2" s="1"/>
  <c r="I98" i="2" s="1" a="1"/>
  <c r="I98" i="2" s="1"/>
  <c r="G99" i="2"/>
  <c r="H99" i="2" s="1"/>
  <c r="I99" i="2" s="1" a="1"/>
  <c r="I99" i="2" s="1"/>
  <c r="G100" i="2"/>
  <c r="H100" i="2" s="1"/>
  <c r="I100" i="2" s="1" a="1"/>
  <c r="I100" i="2" s="1"/>
  <c r="G101" i="2"/>
  <c r="H101" i="2" s="1"/>
  <c r="I101" i="2" s="1" a="1"/>
  <c r="I101" i="2" s="1"/>
  <c r="G102" i="2"/>
  <c r="H102" i="2" s="1"/>
  <c r="I102" i="2" s="1" a="1"/>
  <c r="I102" i="2" s="1"/>
  <c r="G103" i="2"/>
  <c r="H103" i="2" s="1"/>
  <c r="I103" i="2" s="1" a="1"/>
  <c r="I103" i="2" s="1"/>
  <c r="G104" i="2"/>
  <c r="H104" i="2" s="1"/>
  <c r="I104" i="2" s="1" a="1"/>
  <c r="I104" i="2" s="1"/>
  <c r="G105" i="2"/>
  <c r="H105" i="2" s="1"/>
  <c r="I105" i="2" s="1" a="1"/>
  <c r="I105" i="2" s="1"/>
  <c r="G106" i="2"/>
  <c r="H106" i="2" s="1"/>
  <c r="I106" i="2" s="1" a="1"/>
  <c r="I106" i="2" s="1"/>
  <c r="G107" i="2"/>
  <c r="H107" i="2" s="1"/>
  <c r="I107" i="2" s="1" a="1"/>
  <c r="I107" i="2" s="1"/>
  <c r="G108" i="2"/>
  <c r="H108" i="2" s="1"/>
  <c r="I108" i="2" s="1" a="1"/>
  <c r="I108" i="2" s="1"/>
  <c r="G109" i="2"/>
  <c r="H109" i="2" s="1"/>
  <c r="I109" i="2" s="1" a="1"/>
  <c r="I109" i="2" s="1"/>
  <c r="G110" i="2"/>
  <c r="H110" i="2" s="1"/>
  <c r="I110" i="2" s="1" a="1"/>
  <c r="I110" i="2" s="1"/>
  <c r="G111" i="2"/>
  <c r="H111" i="2" s="1"/>
  <c r="I111" i="2" s="1" a="1"/>
  <c r="I111" i="2" s="1"/>
  <c r="G112" i="2"/>
  <c r="H112" i="2" s="1"/>
  <c r="I112" i="2" s="1" a="1"/>
  <c r="I112" i="2" s="1"/>
  <c r="G113" i="2"/>
  <c r="H113" i="2" s="1"/>
  <c r="I113" i="2" s="1" a="1"/>
  <c r="I113" i="2" s="1"/>
  <c r="G114" i="2"/>
  <c r="H114" i="2" s="1"/>
  <c r="I114" i="2" s="1" a="1"/>
  <c r="I114" i="2" s="1"/>
  <c r="G115" i="2"/>
  <c r="H115" i="2" s="1"/>
  <c r="I115" i="2" s="1" a="1"/>
  <c r="I115" i="2" s="1"/>
  <c r="G116" i="2"/>
  <c r="H116" i="2" s="1"/>
  <c r="I116" i="2" s="1" a="1"/>
  <c r="I116" i="2" s="1"/>
  <c r="G117" i="2"/>
  <c r="H117" i="2" s="1"/>
  <c r="I117" i="2" s="1" a="1"/>
  <c r="I117" i="2" s="1"/>
  <c r="G118" i="2"/>
  <c r="H118" i="2" s="1"/>
  <c r="I118" i="2" s="1" a="1"/>
  <c r="I118" i="2" s="1"/>
  <c r="G119" i="2"/>
  <c r="H119" i="2" s="1"/>
  <c r="I119" i="2" s="1" a="1"/>
  <c r="I119" i="2" s="1"/>
  <c r="G120" i="2"/>
  <c r="H120" i="2" s="1"/>
  <c r="I120" i="2" s="1" a="1"/>
  <c r="I120" i="2" s="1"/>
  <c r="G121" i="2"/>
  <c r="H121" i="2" s="1"/>
  <c r="I121" i="2" s="1" a="1"/>
  <c r="I121" i="2" s="1"/>
  <c r="G122" i="2"/>
  <c r="H122" i="2" s="1"/>
  <c r="I122" i="2" s="1" a="1"/>
  <c r="I122" i="2" s="1"/>
  <c r="G123" i="2"/>
  <c r="H123" i="2" s="1"/>
  <c r="I123" i="2" s="1" a="1"/>
  <c r="I123" i="2" s="1"/>
  <c r="G124" i="2"/>
  <c r="H124" i="2" s="1"/>
  <c r="I124" i="2" s="1" a="1"/>
  <c r="I124" i="2" s="1"/>
  <c r="G125" i="2"/>
  <c r="H125" i="2" s="1"/>
  <c r="I125" i="2" s="1" a="1"/>
  <c r="I125" i="2" s="1"/>
  <c r="G126" i="2"/>
  <c r="H126" i="2" s="1"/>
  <c r="I126" i="2" s="1" a="1"/>
  <c r="I126" i="2" s="1"/>
  <c r="G127" i="2"/>
  <c r="H127" i="2" s="1"/>
  <c r="I127" i="2" s="1" a="1"/>
  <c r="I127" i="2" s="1"/>
  <c r="G128" i="2"/>
  <c r="H128" i="2" s="1"/>
  <c r="I128" i="2" s="1" a="1"/>
  <c r="I128" i="2" s="1"/>
  <c r="G129" i="2"/>
  <c r="H129" i="2" s="1"/>
  <c r="I129" i="2" s="1" a="1"/>
  <c r="I129" i="2" s="1"/>
  <c r="G130" i="2"/>
  <c r="H130" i="2" s="1"/>
  <c r="I130" i="2" s="1" a="1"/>
  <c r="I130" i="2" s="1"/>
  <c r="G131" i="2"/>
  <c r="H131" i="2" s="1"/>
  <c r="I131" i="2" s="1" a="1"/>
  <c r="I131" i="2" s="1"/>
  <c r="G132" i="2"/>
  <c r="H132" i="2" s="1"/>
  <c r="I132" i="2" s="1" a="1"/>
  <c r="I132" i="2" s="1"/>
  <c r="G133" i="2"/>
  <c r="H133" i="2" s="1"/>
  <c r="I133" i="2" s="1" a="1"/>
  <c r="I133" i="2" s="1"/>
  <c r="G134" i="2"/>
  <c r="H134" i="2" s="1"/>
  <c r="I134" i="2" s="1" a="1"/>
  <c r="I134" i="2" s="1"/>
  <c r="G135" i="2"/>
  <c r="H135" i="2" s="1"/>
  <c r="I135" i="2" s="1" a="1"/>
  <c r="I135" i="2" s="1"/>
  <c r="G136" i="2"/>
  <c r="H136" i="2" s="1"/>
  <c r="I136" i="2" s="1" a="1"/>
  <c r="I136" i="2" s="1"/>
  <c r="G137" i="2"/>
  <c r="H137" i="2" s="1"/>
  <c r="I137" i="2" s="1" a="1"/>
  <c r="I137" i="2" s="1"/>
  <c r="G138" i="2"/>
  <c r="H138" i="2" s="1"/>
  <c r="I138" i="2" s="1" a="1"/>
  <c r="I138" i="2" s="1"/>
  <c r="G139" i="2"/>
  <c r="H139" i="2" s="1"/>
  <c r="I139" i="2" s="1" a="1"/>
  <c r="I139" i="2" s="1"/>
  <c r="G140" i="2"/>
  <c r="H140" i="2" s="1"/>
  <c r="I140" i="2" s="1" a="1"/>
  <c r="I140" i="2" s="1"/>
  <c r="G141" i="2"/>
  <c r="H141" i="2" s="1"/>
  <c r="I141" i="2" s="1" a="1"/>
  <c r="I141" i="2" s="1"/>
  <c r="G142" i="2"/>
  <c r="H142" i="2" s="1"/>
  <c r="I142" i="2" s="1" a="1"/>
  <c r="I142" i="2" s="1"/>
  <c r="G143" i="2"/>
  <c r="H143" i="2" s="1"/>
  <c r="I143" i="2" s="1" a="1"/>
  <c r="I143" i="2" s="1"/>
  <c r="G144" i="2"/>
  <c r="H144" i="2" s="1"/>
  <c r="I144" i="2" s="1" a="1"/>
  <c r="I144" i="2" s="1"/>
  <c r="G145" i="2"/>
  <c r="H145" i="2" s="1"/>
  <c r="I145" i="2" s="1" a="1"/>
  <c r="I145" i="2" s="1"/>
  <c r="G146" i="2"/>
  <c r="H146" i="2" s="1"/>
  <c r="I146" i="2" s="1" a="1"/>
  <c r="I146" i="2" s="1"/>
  <c r="G147" i="2"/>
  <c r="H147" i="2" s="1"/>
  <c r="I147" i="2" s="1" a="1"/>
  <c r="I147" i="2" s="1"/>
  <c r="G148" i="2"/>
  <c r="H148" i="2" s="1"/>
  <c r="I148" i="2" s="1" a="1"/>
  <c r="I148" i="2" s="1"/>
  <c r="G149" i="2"/>
  <c r="H149" i="2" s="1"/>
  <c r="I149" i="2" s="1" a="1"/>
  <c r="I149" i="2" s="1"/>
  <c r="G150" i="2"/>
  <c r="H150" i="2" s="1"/>
  <c r="I150" i="2" s="1" a="1"/>
  <c r="I150" i="2" s="1"/>
  <c r="G151" i="2"/>
  <c r="H151" i="2" s="1"/>
  <c r="I151" i="2" s="1" a="1"/>
  <c r="I151" i="2" s="1"/>
  <c r="G152" i="2"/>
  <c r="H152" i="2" s="1"/>
  <c r="I152" i="2" s="1" a="1"/>
  <c r="I152" i="2" s="1"/>
  <c r="G153" i="2"/>
  <c r="H153" i="2" s="1"/>
  <c r="I153" i="2" s="1" a="1"/>
  <c r="I153" i="2" s="1"/>
  <c r="G154" i="2"/>
  <c r="H154" i="2" s="1"/>
  <c r="I154" i="2" s="1" a="1"/>
  <c r="I154" i="2" s="1"/>
  <c r="G155" i="2"/>
  <c r="H155" i="2" s="1"/>
  <c r="I155" i="2" s="1" a="1"/>
  <c r="I155" i="2" s="1"/>
  <c r="G156" i="2"/>
  <c r="H156" i="2" s="1"/>
  <c r="I156" i="2" s="1" a="1"/>
  <c r="I156" i="2" s="1"/>
  <c r="G157" i="2"/>
  <c r="H157" i="2" s="1"/>
  <c r="I157" i="2" s="1" a="1"/>
  <c r="I157" i="2" s="1"/>
  <c r="G158" i="2"/>
  <c r="H158" i="2" s="1"/>
  <c r="I158" i="2" s="1" a="1"/>
  <c r="I158" i="2" s="1"/>
  <c r="G159" i="2"/>
  <c r="H159" i="2" s="1"/>
  <c r="I159" i="2" s="1" a="1"/>
  <c r="I159" i="2" s="1"/>
  <c r="G160" i="2"/>
  <c r="H160" i="2" s="1"/>
  <c r="I160" i="2" s="1" a="1"/>
  <c r="I160" i="2" s="1"/>
  <c r="G161" i="2"/>
  <c r="H161" i="2" s="1"/>
  <c r="I161" i="2" s="1" a="1"/>
  <c r="I161" i="2" s="1"/>
  <c r="G162" i="2"/>
  <c r="H162" i="2" s="1"/>
  <c r="I162" i="2" s="1" a="1"/>
  <c r="I162" i="2" s="1"/>
  <c r="G163" i="2"/>
  <c r="H163" i="2" s="1"/>
  <c r="I163" i="2" s="1" a="1"/>
  <c r="I163" i="2" s="1"/>
  <c r="G164" i="2"/>
  <c r="H164" i="2" s="1"/>
  <c r="I164" i="2" s="1" a="1"/>
  <c r="I164" i="2" s="1"/>
  <c r="G165" i="2"/>
  <c r="H165" i="2" s="1"/>
  <c r="I165" i="2" s="1" a="1"/>
  <c r="I165" i="2" s="1"/>
  <c r="G166" i="2"/>
  <c r="H166" i="2" s="1"/>
  <c r="I166" i="2" s="1" a="1"/>
  <c r="I166" i="2" s="1"/>
  <c r="G167" i="2"/>
  <c r="H167" i="2" s="1"/>
  <c r="I167" i="2" s="1" a="1"/>
  <c r="I167" i="2" s="1"/>
  <c r="G168" i="2"/>
  <c r="H168" i="2" s="1"/>
  <c r="I168" i="2" s="1" a="1"/>
  <c r="I168" i="2" s="1"/>
  <c r="G169" i="2"/>
  <c r="H169" i="2" s="1"/>
  <c r="I169" i="2" s="1" a="1"/>
  <c r="I169" i="2" s="1"/>
  <c r="G170" i="2"/>
  <c r="H170" i="2" s="1"/>
  <c r="I170" i="2" s="1" a="1"/>
  <c r="I170" i="2" s="1"/>
  <c r="G171" i="2"/>
  <c r="H171" i="2" s="1"/>
  <c r="I171" i="2" s="1" a="1"/>
  <c r="I171" i="2" s="1"/>
  <c r="G172" i="2"/>
  <c r="H172" i="2" s="1"/>
  <c r="I172" i="2" s="1" a="1"/>
  <c r="I172" i="2" s="1"/>
  <c r="G173" i="2"/>
  <c r="H173" i="2" s="1"/>
  <c r="I173" i="2" s="1" a="1"/>
  <c r="I173" i="2" s="1"/>
  <c r="G174" i="2"/>
  <c r="H174" i="2" s="1"/>
  <c r="I174" i="2" s="1" a="1"/>
  <c r="I174" i="2" s="1"/>
  <c r="G175" i="2"/>
  <c r="H175" i="2" s="1"/>
  <c r="I175" i="2" s="1" a="1"/>
  <c r="I175" i="2" s="1"/>
  <c r="G176" i="2"/>
  <c r="H176" i="2" s="1"/>
  <c r="I176" i="2" s="1" a="1"/>
  <c r="I176" i="2" s="1"/>
  <c r="G177" i="2"/>
  <c r="H177" i="2" s="1"/>
  <c r="I177" i="2" s="1" a="1"/>
  <c r="I177" i="2" s="1"/>
  <c r="G178" i="2"/>
  <c r="H178" i="2" s="1"/>
  <c r="I178" i="2" s="1" a="1"/>
  <c r="I178" i="2" s="1"/>
  <c r="G179" i="2"/>
  <c r="H179" i="2" s="1"/>
  <c r="I179" i="2" s="1" a="1"/>
  <c r="I179" i="2" s="1"/>
  <c r="G180" i="2"/>
  <c r="H180" i="2" s="1"/>
  <c r="I180" i="2" s="1" a="1"/>
  <c r="I180" i="2" s="1"/>
  <c r="G181" i="2"/>
  <c r="H181" i="2" s="1"/>
  <c r="I181" i="2" s="1" a="1"/>
  <c r="I181" i="2" s="1"/>
  <c r="G182" i="2"/>
  <c r="H182" i="2" s="1"/>
  <c r="I182" i="2" s="1" a="1"/>
  <c r="I182" i="2" s="1"/>
  <c r="G183" i="2"/>
  <c r="H183" i="2" s="1"/>
  <c r="I183" i="2" s="1" a="1"/>
  <c r="I183" i="2" s="1"/>
  <c r="G184" i="2"/>
  <c r="H184" i="2" s="1"/>
  <c r="I184" i="2" s="1" a="1"/>
  <c r="I184" i="2" s="1"/>
  <c r="G185" i="2"/>
  <c r="H185" i="2" s="1"/>
  <c r="I185" i="2" s="1" a="1"/>
  <c r="I185" i="2" s="1"/>
  <c r="G186" i="2"/>
  <c r="H186" i="2" s="1"/>
  <c r="I186" i="2" s="1" a="1"/>
  <c r="I186" i="2" s="1"/>
  <c r="G187" i="2"/>
  <c r="H187" i="2" s="1"/>
  <c r="I187" i="2" s="1" a="1"/>
  <c r="I187" i="2" s="1"/>
  <c r="G188" i="2"/>
  <c r="H188" i="2" s="1"/>
  <c r="I188" i="2" s="1" a="1"/>
  <c r="I188" i="2" s="1"/>
  <c r="G189" i="2"/>
  <c r="H189" i="2" s="1"/>
  <c r="I189" i="2" s="1" a="1"/>
  <c r="I189" i="2" s="1"/>
  <c r="G190" i="2"/>
  <c r="H190" i="2" s="1"/>
  <c r="I190" i="2" s="1" a="1"/>
  <c r="I190" i="2" s="1"/>
  <c r="G191" i="2"/>
  <c r="H191" i="2" s="1"/>
  <c r="I191" i="2" s="1" a="1"/>
  <c r="I191" i="2" s="1"/>
  <c r="G192" i="2"/>
  <c r="H192" i="2" s="1"/>
  <c r="I192" i="2" s="1" a="1"/>
  <c r="I192" i="2" s="1"/>
  <c r="G193" i="2"/>
  <c r="H193" i="2" s="1"/>
  <c r="I193" i="2" s="1" a="1"/>
  <c r="I193" i="2" s="1"/>
  <c r="G194" i="2"/>
  <c r="H194" i="2" s="1"/>
  <c r="I194" i="2" s="1" a="1"/>
  <c r="I194" i="2" s="1"/>
  <c r="G195" i="2"/>
  <c r="H195" i="2" s="1"/>
  <c r="I195" i="2" s="1" a="1"/>
  <c r="I195" i="2" s="1"/>
  <c r="G196" i="2"/>
  <c r="H196" i="2" s="1"/>
  <c r="I196" i="2" s="1" a="1"/>
  <c r="I196" i="2" s="1"/>
  <c r="G197" i="2"/>
  <c r="H197" i="2" s="1"/>
  <c r="I197" i="2" s="1" a="1"/>
  <c r="I197" i="2" s="1"/>
  <c r="G198" i="2"/>
  <c r="H198" i="2" s="1"/>
  <c r="I198" i="2" s="1" a="1"/>
  <c r="I198" i="2" s="1"/>
  <c r="G199" i="2"/>
  <c r="H199" i="2" s="1"/>
  <c r="I199" i="2" s="1" a="1"/>
  <c r="I199" i="2" s="1"/>
  <c r="G200" i="2"/>
  <c r="H200" i="2" s="1"/>
  <c r="I200" i="2" s="1" a="1"/>
  <c r="I200" i="2" s="1"/>
  <c r="G201" i="2"/>
  <c r="H201" i="2" s="1"/>
  <c r="I201" i="2" s="1" a="1"/>
  <c r="I201" i="2" s="1"/>
  <c r="G202" i="2"/>
  <c r="H202" i="2" s="1"/>
  <c r="I202" i="2" s="1" a="1"/>
  <c r="I202" i="2" s="1"/>
  <c r="G203" i="2"/>
  <c r="H203" i="2" s="1"/>
  <c r="I203" i="2" s="1" a="1"/>
  <c r="I203" i="2" s="1"/>
  <c r="G204" i="2"/>
  <c r="H204" i="2" s="1"/>
  <c r="I204" i="2" s="1" a="1"/>
  <c r="I204" i="2" s="1"/>
  <c r="G205" i="2"/>
  <c r="H205" i="2" s="1"/>
  <c r="I205" i="2" s="1" a="1"/>
  <c r="I205" i="2" s="1"/>
  <c r="G206" i="2"/>
  <c r="H206" i="2" s="1"/>
  <c r="I206" i="2" s="1" a="1"/>
  <c r="I206" i="2" s="1"/>
  <c r="G207" i="2"/>
  <c r="H207" i="2" s="1"/>
  <c r="I207" i="2" s="1" a="1"/>
  <c r="I207" i="2" s="1"/>
  <c r="G208" i="2"/>
  <c r="H208" i="2" s="1"/>
  <c r="I208" i="2" s="1" a="1"/>
  <c r="I208" i="2" s="1"/>
  <c r="G209" i="2"/>
  <c r="H209" i="2" s="1"/>
  <c r="I209" i="2" s="1" a="1"/>
  <c r="I209" i="2" s="1"/>
  <c r="G210" i="2"/>
  <c r="H210" i="2" s="1"/>
  <c r="I210" i="2" s="1" a="1"/>
  <c r="I210" i="2" s="1"/>
  <c r="G211" i="2"/>
  <c r="H211" i="2" s="1"/>
  <c r="I211" i="2" s="1" a="1"/>
  <c r="I211" i="2" s="1"/>
  <c r="G212" i="2"/>
  <c r="H212" i="2" s="1"/>
  <c r="I212" i="2" s="1" a="1"/>
  <c r="I212" i="2" s="1"/>
  <c r="G213" i="2"/>
  <c r="H213" i="2" s="1"/>
  <c r="I213" i="2" s="1" a="1"/>
  <c r="I213" i="2" s="1"/>
  <c r="G214" i="2"/>
  <c r="H214" i="2" s="1"/>
  <c r="I214" i="2" s="1" a="1"/>
  <c r="I214" i="2" s="1"/>
  <c r="G215" i="2"/>
  <c r="H215" i="2" s="1"/>
  <c r="I215" i="2" s="1" a="1"/>
  <c r="I215" i="2" s="1"/>
  <c r="G216" i="2"/>
  <c r="H216" i="2" s="1"/>
  <c r="I216" i="2" s="1" a="1"/>
  <c r="I216" i="2" s="1"/>
  <c r="G217" i="2"/>
  <c r="H217" i="2" s="1"/>
  <c r="I217" i="2" s="1" a="1"/>
  <c r="I217" i="2" s="1"/>
  <c r="G218" i="2"/>
  <c r="H218" i="2" s="1"/>
  <c r="I218" i="2" s="1" a="1"/>
  <c r="I218" i="2" s="1"/>
  <c r="G219" i="2"/>
  <c r="H219" i="2" s="1"/>
  <c r="I219" i="2" s="1" a="1"/>
  <c r="I219" i="2" s="1"/>
  <c r="G220" i="2"/>
  <c r="H220" i="2" s="1"/>
  <c r="I220" i="2" s="1" a="1"/>
  <c r="I220" i="2" s="1"/>
  <c r="G221" i="2"/>
  <c r="H221" i="2" s="1"/>
  <c r="I221" i="2" s="1" a="1"/>
  <c r="I221" i="2" s="1"/>
  <c r="G222" i="2"/>
  <c r="H222" i="2" s="1"/>
  <c r="I222" i="2" s="1" a="1"/>
  <c r="I222" i="2" s="1"/>
  <c r="G223" i="2"/>
  <c r="H223" i="2" s="1"/>
  <c r="I223" i="2" s="1" a="1"/>
  <c r="I223" i="2" s="1"/>
  <c r="G224" i="2"/>
  <c r="H224" i="2" s="1"/>
  <c r="I224" i="2" s="1" a="1"/>
  <c r="I224" i="2" s="1"/>
  <c r="G225" i="2"/>
  <c r="H225" i="2" s="1"/>
  <c r="I225" i="2" s="1" a="1"/>
  <c r="I225" i="2" s="1"/>
  <c r="G226" i="2"/>
  <c r="H226" i="2" s="1"/>
  <c r="I226" i="2" s="1" a="1"/>
  <c r="I226" i="2" s="1"/>
  <c r="G227" i="2"/>
  <c r="H227" i="2" s="1"/>
  <c r="I227" i="2" s="1" a="1"/>
  <c r="I227" i="2" s="1"/>
  <c r="G228" i="2"/>
  <c r="H228" i="2" s="1"/>
  <c r="I228" i="2" s="1" a="1"/>
  <c r="I228" i="2" s="1"/>
  <c r="G229" i="2"/>
  <c r="H229" i="2" s="1"/>
  <c r="I229" i="2" s="1" a="1"/>
  <c r="I229" i="2" s="1"/>
  <c r="G230" i="2"/>
  <c r="H230" i="2" s="1"/>
  <c r="I230" i="2" s="1" a="1"/>
  <c r="I230" i="2" s="1"/>
  <c r="G231" i="2"/>
  <c r="H231" i="2" s="1"/>
  <c r="I231" i="2" s="1" a="1"/>
  <c r="I231" i="2" s="1"/>
  <c r="G232" i="2"/>
  <c r="H232" i="2" s="1"/>
  <c r="I232" i="2" s="1" a="1"/>
  <c r="I232" i="2" s="1"/>
  <c r="G233" i="2"/>
  <c r="H233" i="2" s="1"/>
  <c r="I233" i="2" s="1" a="1"/>
  <c r="I233" i="2" s="1"/>
  <c r="G234" i="2"/>
  <c r="H234" i="2" s="1"/>
  <c r="I234" i="2" s="1" a="1"/>
  <c r="I234" i="2" s="1"/>
  <c r="G235" i="2"/>
  <c r="H235" i="2" s="1"/>
  <c r="I235" i="2" s="1" a="1"/>
  <c r="I235" i="2" s="1"/>
  <c r="G236" i="2"/>
  <c r="H236" i="2" s="1"/>
  <c r="I236" i="2" s="1" a="1"/>
  <c r="I236" i="2" s="1"/>
  <c r="G237" i="2"/>
  <c r="H237" i="2" s="1"/>
  <c r="I237" i="2" s="1" a="1"/>
  <c r="I237" i="2" s="1"/>
  <c r="G238" i="2"/>
  <c r="H238" i="2" s="1"/>
  <c r="I238" i="2" s="1" a="1"/>
  <c r="I238" i="2" s="1"/>
  <c r="G239" i="2"/>
  <c r="H239" i="2" s="1"/>
  <c r="I239" i="2" s="1" a="1"/>
  <c r="I239" i="2" s="1"/>
  <c r="G240" i="2"/>
  <c r="H240" i="2" s="1"/>
  <c r="I240" i="2" s="1" a="1"/>
  <c r="I240" i="2" s="1"/>
  <c r="G241" i="2"/>
  <c r="H241" i="2" s="1"/>
  <c r="I241" i="2" s="1" a="1"/>
  <c r="I241" i="2" s="1"/>
  <c r="G242" i="2"/>
  <c r="H242" i="2" s="1"/>
  <c r="I242" i="2" s="1" a="1"/>
  <c r="I242" i="2" s="1"/>
  <c r="G243" i="2"/>
  <c r="H243" i="2" s="1"/>
  <c r="I243" i="2" s="1" a="1"/>
  <c r="I243" i="2" s="1"/>
  <c r="G244" i="2"/>
  <c r="H244" i="2" s="1"/>
  <c r="I244" i="2" s="1" a="1"/>
  <c r="I244" i="2" s="1"/>
  <c r="G245" i="2"/>
  <c r="H245" i="2" s="1"/>
  <c r="I245" i="2" s="1" a="1"/>
  <c r="I245" i="2" s="1"/>
  <c r="G246" i="2"/>
  <c r="H246" i="2" s="1"/>
  <c r="I246" i="2" s="1" a="1"/>
  <c r="I246" i="2" s="1"/>
  <c r="G247" i="2"/>
  <c r="H247" i="2" s="1"/>
  <c r="I247" i="2" s="1" a="1"/>
  <c r="I247" i="2" s="1"/>
  <c r="G248" i="2"/>
  <c r="H248" i="2" s="1"/>
  <c r="I248" i="2" s="1" a="1"/>
  <c r="I248" i="2" s="1"/>
  <c r="G249" i="2"/>
  <c r="H249" i="2" s="1"/>
  <c r="I249" i="2" s="1" a="1"/>
  <c r="I249" i="2" s="1"/>
  <c r="G250" i="2"/>
  <c r="H250" i="2" s="1"/>
  <c r="I250" i="2" s="1" a="1"/>
  <c r="I250" i="2" s="1"/>
  <c r="G251" i="2"/>
  <c r="H251" i="2" s="1"/>
  <c r="I251" i="2" s="1" a="1"/>
  <c r="I251" i="2" s="1"/>
  <c r="G252" i="2"/>
  <c r="H252" i="2" s="1"/>
  <c r="I252" i="2" s="1" a="1"/>
  <c r="I252" i="2" s="1"/>
  <c r="G253" i="2"/>
  <c r="H253" i="2" s="1"/>
  <c r="I253" i="2" s="1" a="1"/>
  <c r="I253" i="2" s="1"/>
  <c r="G254" i="2"/>
  <c r="H254" i="2" s="1"/>
  <c r="I254" i="2" s="1" a="1"/>
  <c r="I254" i="2" s="1"/>
  <c r="G255" i="2"/>
  <c r="H255" i="2" s="1"/>
  <c r="I255" i="2" s="1" a="1"/>
  <c r="I255" i="2" s="1"/>
  <c r="G256" i="2"/>
  <c r="H256" i="2" s="1"/>
  <c r="I256" i="2" s="1" a="1"/>
  <c r="I256" i="2" s="1"/>
  <c r="G257" i="2"/>
  <c r="H257" i="2" s="1"/>
  <c r="I257" i="2" s="1" a="1"/>
  <c r="I257" i="2" s="1"/>
  <c r="G258" i="2"/>
  <c r="H258" i="2" s="1"/>
  <c r="I258" i="2" s="1" a="1"/>
  <c r="I258" i="2" s="1"/>
  <c r="G259" i="2"/>
  <c r="H259" i="2" s="1"/>
  <c r="I259" i="2" s="1" a="1"/>
  <c r="I259" i="2" s="1"/>
  <c r="G260" i="2"/>
  <c r="H260" i="2" s="1"/>
  <c r="I260" i="2" s="1" a="1"/>
  <c r="I260" i="2" s="1"/>
  <c r="G261" i="2"/>
  <c r="H261" i="2" s="1"/>
  <c r="I261" i="2" s="1" a="1"/>
  <c r="I261" i="2" s="1"/>
  <c r="G262" i="2"/>
  <c r="H262" i="2" s="1"/>
  <c r="I262" i="2" s="1" a="1"/>
  <c r="I262" i="2" s="1"/>
  <c r="G263" i="2"/>
  <c r="H263" i="2" s="1"/>
  <c r="I263" i="2" s="1" a="1"/>
  <c r="I263" i="2" s="1"/>
  <c r="G264" i="2"/>
  <c r="H264" i="2" s="1"/>
  <c r="I264" i="2" s="1" a="1"/>
  <c r="I264" i="2" s="1"/>
  <c r="G265" i="2"/>
  <c r="H265" i="2" s="1"/>
  <c r="I265" i="2" s="1" a="1"/>
  <c r="I265" i="2" s="1"/>
  <c r="G266" i="2"/>
  <c r="H266" i="2" s="1"/>
  <c r="I266" i="2" s="1" a="1"/>
  <c r="I266" i="2" s="1"/>
  <c r="G267" i="2"/>
  <c r="H267" i="2" s="1"/>
  <c r="I267" i="2" s="1" a="1"/>
  <c r="I267" i="2" s="1"/>
  <c r="G268" i="2"/>
  <c r="H268" i="2" s="1"/>
  <c r="I268" i="2" s="1" a="1"/>
  <c r="I268" i="2" s="1"/>
  <c r="G269" i="2"/>
  <c r="H269" i="2" s="1"/>
  <c r="I269" i="2" s="1" a="1"/>
  <c r="I269" i="2" s="1"/>
  <c r="G270" i="2"/>
  <c r="H270" i="2" s="1"/>
  <c r="I270" i="2" s="1" a="1"/>
  <c r="I270" i="2" s="1"/>
  <c r="G271" i="2"/>
  <c r="H271" i="2" s="1"/>
  <c r="I271" i="2" s="1" a="1"/>
  <c r="I271" i="2" s="1"/>
  <c r="G272" i="2"/>
  <c r="H272" i="2" s="1"/>
  <c r="I272" i="2" s="1" a="1"/>
  <c r="I272" i="2" s="1"/>
  <c r="G273" i="2"/>
  <c r="H273" i="2" s="1"/>
  <c r="I273" i="2" s="1" a="1"/>
  <c r="I273" i="2" s="1"/>
  <c r="G274" i="2"/>
  <c r="H274" i="2" s="1"/>
  <c r="I274" i="2" s="1" a="1"/>
  <c r="I274" i="2" s="1"/>
  <c r="G275" i="2"/>
  <c r="H275" i="2" s="1"/>
  <c r="I275" i="2" s="1" a="1"/>
  <c r="I275" i="2" s="1"/>
  <c r="G276" i="2"/>
  <c r="H276" i="2" s="1"/>
  <c r="I276" i="2" s="1" a="1"/>
  <c r="I276" i="2" s="1"/>
  <c r="G277" i="2"/>
  <c r="H277" i="2" s="1"/>
  <c r="I277" i="2" s="1" a="1"/>
  <c r="I277" i="2" s="1"/>
  <c r="G278" i="2"/>
  <c r="H278" i="2" s="1"/>
  <c r="I278" i="2" s="1" a="1"/>
  <c r="I278" i="2" s="1"/>
  <c r="G279" i="2"/>
  <c r="H279" i="2" s="1"/>
  <c r="I279" i="2" s="1" a="1"/>
  <c r="I279" i="2" s="1"/>
  <c r="G280" i="2"/>
  <c r="H280" i="2" s="1"/>
  <c r="I280" i="2" s="1" a="1"/>
  <c r="I280" i="2" s="1"/>
  <c r="G281" i="2"/>
  <c r="H281" i="2" s="1"/>
  <c r="I281" i="2" s="1" a="1"/>
  <c r="I281" i="2" s="1"/>
  <c r="G282" i="2"/>
  <c r="H282" i="2" s="1"/>
  <c r="I282" i="2" s="1" a="1"/>
  <c r="I282" i="2" s="1"/>
  <c r="G283" i="2"/>
  <c r="H283" i="2" s="1"/>
  <c r="I283" i="2" s="1" a="1"/>
  <c r="I283" i="2" s="1"/>
  <c r="G284" i="2"/>
  <c r="H284" i="2" s="1"/>
  <c r="I284" i="2" s="1" a="1"/>
  <c r="I284" i="2" s="1"/>
  <c r="G285" i="2"/>
  <c r="H285" i="2" s="1"/>
  <c r="I285" i="2" s="1" a="1"/>
  <c r="I285" i="2" s="1"/>
  <c r="G286" i="2"/>
  <c r="H286" i="2" s="1"/>
  <c r="I286" i="2" s="1" a="1"/>
  <c r="I286" i="2" s="1"/>
  <c r="G287" i="2"/>
  <c r="H287" i="2" s="1"/>
  <c r="I287" i="2" s="1" a="1"/>
  <c r="I287" i="2" s="1"/>
  <c r="G288" i="2"/>
  <c r="H288" i="2" s="1"/>
  <c r="I288" i="2" s="1" a="1"/>
  <c r="I288" i="2" s="1"/>
  <c r="G289" i="2"/>
  <c r="H289" i="2" s="1"/>
  <c r="I289" i="2" s="1" a="1"/>
  <c r="I289" i="2" s="1"/>
  <c r="G290" i="2"/>
  <c r="H290" i="2" s="1"/>
  <c r="I290" i="2" s="1" a="1"/>
  <c r="I290" i="2" s="1"/>
  <c r="G291" i="2"/>
  <c r="H291" i="2" s="1"/>
  <c r="I291" i="2" s="1" a="1"/>
  <c r="I291" i="2" s="1"/>
  <c r="G292" i="2"/>
  <c r="H292" i="2" s="1"/>
  <c r="I292" i="2" s="1" a="1"/>
  <c r="I292" i="2" s="1"/>
  <c r="G293" i="2"/>
  <c r="H293" i="2" s="1"/>
  <c r="I293" i="2" s="1" a="1"/>
  <c r="I293" i="2" s="1"/>
  <c r="G294" i="2"/>
  <c r="H294" i="2" s="1"/>
  <c r="I294" i="2" s="1" a="1"/>
  <c r="I294" i="2" s="1"/>
  <c r="G295" i="2"/>
  <c r="H295" i="2" s="1"/>
  <c r="I295" i="2" s="1" a="1"/>
  <c r="I295" i="2" s="1"/>
  <c r="G296" i="2"/>
  <c r="H296" i="2" s="1"/>
  <c r="I296" i="2" s="1" a="1"/>
  <c r="I296" i="2" s="1"/>
  <c r="G297" i="2"/>
  <c r="H297" i="2" s="1"/>
  <c r="I297" i="2" s="1" a="1"/>
  <c r="I297" i="2" s="1"/>
  <c r="G298" i="2"/>
  <c r="H298" i="2" s="1"/>
  <c r="I298" i="2" s="1" a="1"/>
  <c r="I298" i="2" s="1"/>
  <c r="G299" i="2"/>
  <c r="H299" i="2" s="1"/>
  <c r="I299" i="2" s="1" a="1"/>
  <c r="I299" i="2" s="1"/>
  <c r="G300" i="2"/>
  <c r="H300" i="2" s="1"/>
  <c r="I300" i="2" s="1" a="1"/>
  <c r="I300" i="2" s="1"/>
  <c r="G301" i="2"/>
  <c r="H301" i="2" s="1"/>
  <c r="I301" i="2" s="1" a="1"/>
  <c r="I301" i="2" s="1"/>
  <c r="G302" i="2"/>
  <c r="H302" i="2" s="1"/>
  <c r="I302" i="2" s="1" a="1"/>
  <c r="I302" i="2" s="1"/>
  <c r="G303" i="2"/>
  <c r="H303" i="2" s="1"/>
  <c r="I303" i="2" s="1" a="1"/>
  <c r="I303" i="2" s="1"/>
  <c r="G304" i="2"/>
  <c r="H304" i="2" s="1"/>
  <c r="I304" i="2" s="1" a="1"/>
  <c r="I304" i="2" s="1"/>
  <c r="G305" i="2"/>
  <c r="H305" i="2" s="1"/>
  <c r="I305" i="2" s="1" a="1"/>
  <c r="I305" i="2" s="1"/>
  <c r="G306" i="2"/>
  <c r="H306" i="2" s="1"/>
  <c r="I306" i="2" s="1" a="1"/>
  <c r="I306" i="2" s="1"/>
  <c r="G307" i="2"/>
  <c r="H307" i="2" s="1"/>
  <c r="I307" i="2" s="1" a="1"/>
  <c r="I307" i="2" s="1"/>
  <c r="G308" i="2"/>
  <c r="H308" i="2" s="1"/>
  <c r="I308" i="2" s="1" a="1"/>
  <c r="I308" i="2" s="1"/>
  <c r="G309" i="2"/>
  <c r="H309" i="2" s="1"/>
  <c r="I309" i="2" s="1" a="1"/>
  <c r="I309" i="2" s="1"/>
  <c r="G310" i="2"/>
  <c r="H310" i="2" s="1"/>
  <c r="I310" i="2" s="1" a="1"/>
  <c r="I310" i="2" s="1"/>
  <c r="G311" i="2"/>
  <c r="H311" i="2" s="1"/>
  <c r="I311" i="2" s="1" a="1"/>
  <c r="I311" i="2" s="1"/>
  <c r="G312" i="2"/>
  <c r="H312" i="2" s="1"/>
  <c r="I312" i="2" s="1" a="1"/>
  <c r="I312" i="2" s="1"/>
  <c r="G313" i="2"/>
  <c r="H313" i="2" s="1"/>
  <c r="I313" i="2" s="1" a="1"/>
  <c r="I313" i="2" s="1"/>
  <c r="G314" i="2"/>
  <c r="H314" i="2" s="1"/>
  <c r="I314" i="2" s="1" a="1"/>
  <c r="I314" i="2" s="1"/>
  <c r="G315" i="2"/>
  <c r="H315" i="2" s="1"/>
  <c r="I315" i="2" s="1" a="1"/>
  <c r="I315" i="2" s="1"/>
  <c r="G316" i="2"/>
  <c r="H316" i="2" s="1"/>
  <c r="I316" i="2" s="1" a="1"/>
  <c r="I316" i="2" s="1"/>
  <c r="G317" i="2"/>
  <c r="H317" i="2" s="1"/>
  <c r="I317" i="2" s="1" a="1"/>
  <c r="I317" i="2" s="1"/>
  <c r="G318" i="2"/>
  <c r="H318" i="2" s="1"/>
  <c r="I318" i="2" s="1" a="1"/>
  <c r="I318" i="2" s="1"/>
  <c r="G319" i="2"/>
  <c r="H319" i="2" s="1"/>
  <c r="I319" i="2" s="1" a="1"/>
  <c r="I319" i="2" s="1"/>
  <c r="G320" i="2"/>
  <c r="H320" i="2" s="1"/>
  <c r="I320" i="2" s="1" a="1"/>
  <c r="I320" i="2" s="1"/>
  <c r="G321" i="2"/>
  <c r="H321" i="2" s="1"/>
  <c r="I321" i="2" s="1" a="1"/>
  <c r="I321" i="2" s="1"/>
  <c r="G322" i="2"/>
  <c r="H322" i="2" s="1"/>
  <c r="I322" i="2" s="1" a="1"/>
  <c r="I322" i="2" s="1"/>
  <c r="G323" i="2"/>
  <c r="H323" i="2" s="1"/>
  <c r="I323" i="2" s="1" a="1"/>
  <c r="I323" i="2" s="1"/>
  <c r="G324" i="2"/>
  <c r="H324" i="2" s="1"/>
  <c r="I324" i="2" s="1" a="1"/>
  <c r="I324" i="2" s="1"/>
  <c r="G325" i="2"/>
  <c r="H325" i="2" s="1"/>
  <c r="I325" i="2" s="1" a="1"/>
  <c r="I325" i="2" s="1"/>
  <c r="G326" i="2"/>
  <c r="H326" i="2" s="1"/>
  <c r="I326" i="2" s="1" a="1"/>
  <c r="I326" i="2" s="1"/>
  <c r="G327" i="2"/>
  <c r="H327" i="2" s="1"/>
  <c r="I327" i="2" s="1" a="1"/>
  <c r="I327" i="2" s="1"/>
  <c r="G328" i="2"/>
  <c r="H328" i="2" s="1"/>
  <c r="I328" i="2" s="1" a="1"/>
  <c r="I328" i="2" s="1"/>
  <c r="G329" i="2"/>
  <c r="H329" i="2" s="1"/>
  <c r="I329" i="2" s="1" a="1"/>
  <c r="I329" i="2" s="1"/>
  <c r="G330" i="2"/>
  <c r="H330" i="2" s="1"/>
  <c r="I330" i="2" s="1" a="1"/>
  <c r="I330" i="2" s="1"/>
  <c r="G331" i="2"/>
  <c r="H331" i="2" s="1"/>
  <c r="I331" i="2" s="1" a="1"/>
  <c r="I331" i="2" s="1"/>
  <c r="G332" i="2"/>
  <c r="H332" i="2" s="1"/>
  <c r="I332" i="2" s="1" a="1"/>
  <c r="I332" i="2" s="1"/>
  <c r="G333" i="2"/>
  <c r="H333" i="2" s="1"/>
  <c r="I333" i="2" s="1" a="1"/>
  <c r="I333" i="2" s="1"/>
  <c r="G334" i="2"/>
  <c r="H334" i="2" s="1"/>
  <c r="I334" i="2" s="1" a="1"/>
  <c r="I334" i="2" s="1"/>
  <c r="G335" i="2"/>
  <c r="H335" i="2" s="1"/>
  <c r="I335" i="2" s="1" a="1"/>
  <c r="I335" i="2" s="1"/>
  <c r="G336" i="2"/>
  <c r="H336" i="2" s="1"/>
  <c r="I336" i="2" s="1" a="1"/>
  <c r="I336" i="2" s="1"/>
  <c r="G337" i="2"/>
  <c r="H337" i="2" s="1"/>
  <c r="I337" i="2" s="1" a="1"/>
  <c r="I337" i="2" s="1"/>
  <c r="G338" i="2"/>
  <c r="H338" i="2" s="1"/>
  <c r="I338" i="2" s="1" a="1"/>
  <c r="I338" i="2" s="1"/>
  <c r="G339" i="2"/>
  <c r="H339" i="2" s="1"/>
  <c r="I339" i="2" s="1" a="1"/>
  <c r="I339" i="2" s="1"/>
  <c r="G340" i="2"/>
  <c r="H340" i="2" s="1"/>
  <c r="I340" i="2" s="1" a="1"/>
  <c r="I340" i="2" s="1"/>
  <c r="G341" i="2"/>
  <c r="H341" i="2" s="1"/>
  <c r="I341" i="2" s="1" a="1"/>
  <c r="I341" i="2" s="1"/>
  <c r="G342" i="2"/>
  <c r="H342" i="2" s="1"/>
  <c r="I342" i="2" s="1" a="1"/>
  <c r="I342" i="2" s="1"/>
  <c r="G343" i="2"/>
  <c r="H343" i="2" s="1"/>
  <c r="I343" i="2" s="1" a="1"/>
  <c r="I343" i="2" s="1"/>
  <c r="G344" i="2"/>
  <c r="H344" i="2" s="1"/>
  <c r="I344" i="2" s="1" a="1"/>
  <c r="I344" i="2" s="1"/>
  <c r="G345" i="2"/>
  <c r="H345" i="2" s="1"/>
  <c r="I345" i="2" s="1" a="1"/>
  <c r="I345" i="2" s="1"/>
  <c r="G346" i="2"/>
  <c r="H346" i="2" s="1"/>
  <c r="I346" i="2" s="1" a="1"/>
  <c r="I346" i="2" s="1"/>
  <c r="G347" i="2"/>
  <c r="H347" i="2" s="1"/>
  <c r="I347" i="2" s="1" a="1"/>
  <c r="I347" i="2" s="1"/>
  <c r="G348" i="2"/>
  <c r="H348" i="2" s="1"/>
  <c r="I348" i="2" s="1" a="1"/>
  <c r="I348" i="2" s="1"/>
  <c r="G349" i="2"/>
  <c r="H349" i="2" s="1"/>
  <c r="I349" i="2" s="1" a="1"/>
  <c r="I349" i="2" s="1"/>
  <c r="G350" i="2"/>
  <c r="H350" i="2" s="1"/>
  <c r="I350" i="2" s="1" a="1"/>
  <c r="I350" i="2" s="1"/>
  <c r="G351" i="2"/>
  <c r="H351" i="2" s="1"/>
  <c r="I351" i="2" s="1" a="1"/>
  <c r="I351" i="2" s="1"/>
  <c r="G352" i="2"/>
  <c r="H352" i="2" s="1"/>
  <c r="I352" i="2" s="1" a="1"/>
  <c r="I352" i="2" s="1"/>
  <c r="G353" i="2"/>
  <c r="H353" i="2" s="1"/>
  <c r="I353" i="2" s="1" a="1"/>
  <c r="I353" i="2" s="1"/>
  <c r="G354" i="2"/>
  <c r="H354" i="2" s="1"/>
  <c r="I354" i="2" s="1" a="1"/>
  <c r="I354" i="2" s="1"/>
  <c r="G355" i="2"/>
  <c r="H355" i="2" s="1"/>
  <c r="I355" i="2" s="1" a="1"/>
  <c r="I355" i="2" s="1"/>
  <c r="G356" i="2"/>
  <c r="H356" i="2" s="1"/>
  <c r="I356" i="2" s="1" a="1"/>
  <c r="I356" i="2" s="1"/>
  <c r="G357" i="2"/>
  <c r="H357" i="2" s="1"/>
  <c r="I357" i="2" s="1" a="1"/>
  <c r="I357" i="2" s="1"/>
  <c r="G358" i="2"/>
  <c r="H358" i="2" s="1"/>
  <c r="I358" i="2" s="1" a="1"/>
  <c r="I358" i="2" s="1"/>
  <c r="G359" i="2"/>
  <c r="H359" i="2" s="1"/>
  <c r="I359" i="2" s="1" a="1"/>
  <c r="I359" i="2" s="1"/>
  <c r="G360" i="2"/>
  <c r="H360" i="2" s="1"/>
  <c r="I360" i="2" s="1" a="1"/>
  <c r="I360" i="2" s="1"/>
  <c r="G361" i="2"/>
  <c r="H361" i="2" s="1"/>
  <c r="I361" i="2" s="1" a="1"/>
  <c r="I361" i="2" s="1"/>
  <c r="G362" i="2"/>
  <c r="H362" i="2" s="1"/>
  <c r="I362" i="2" s="1" a="1"/>
  <c r="I362" i="2" s="1"/>
  <c r="G363" i="2"/>
  <c r="H363" i="2" s="1"/>
  <c r="I363" i="2" s="1" a="1"/>
  <c r="I363" i="2" s="1"/>
  <c r="G364" i="2"/>
  <c r="H364" i="2" s="1"/>
  <c r="I364" i="2" s="1" a="1"/>
  <c r="I364" i="2" s="1"/>
  <c r="G365" i="2"/>
  <c r="H365" i="2" s="1"/>
  <c r="I365" i="2" s="1" a="1"/>
  <c r="I365" i="2" s="1"/>
  <c r="G366" i="2"/>
  <c r="H366" i="2" s="1"/>
  <c r="I366" i="2" s="1" a="1"/>
  <c r="I366" i="2" s="1"/>
  <c r="G367" i="2"/>
  <c r="H367" i="2" s="1"/>
  <c r="I367" i="2" s="1" a="1"/>
  <c r="I367" i="2" s="1"/>
  <c r="G368" i="2"/>
  <c r="H368" i="2" s="1"/>
  <c r="I368" i="2" s="1" a="1"/>
  <c r="I368" i="2" s="1"/>
  <c r="G369" i="2"/>
  <c r="H369" i="2" s="1"/>
  <c r="I369" i="2" s="1" a="1"/>
  <c r="I369" i="2" s="1"/>
  <c r="G370" i="2"/>
  <c r="H370" i="2" s="1"/>
  <c r="I370" i="2" s="1" a="1"/>
  <c r="I370" i="2" s="1"/>
  <c r="G371" i="2"/>
  <c r="H371" i="2" s="1"/>
  <c r="I371" i="2" s="1" a="1"/>
  <c r="I371" i="2" s="1"/>
  <c r="G372" i="2"/>
  <c r="H372" i="2" s="1"/>
  <c r="I372" i="2" s="1" a="1"/>
  <c r="I372" i="2" s="1"/>
  <c r="G373" i="2"/>
  <c r="H373" i="2" s="1"/>
  <c r="I373" i="2" s="1" a="1"/>
  <c r="I373" i="2" s="1"/>
  <c r="G374" i="2"/>
  <c r="H374" i="2" s="1"/>
  <c r="I374" i="2" s="1" a="1"/>
  <c r="I374" i="2" s="1"/>
  <c r="G375" i="2"/>
  <c r="H375" i="2" s="1"/>
  <c r="I375" i="2" s="1" a="1"/>
  <c r="I375" i="2" s="1"/>
  <c r="G376" i="2"/>
  <c r="H376" i="2" s="1"/>
  <c r="I376" i="2" s="1" a="1"/>
  <c r="I376" i="2" s="1"/>
  <c r="G377" i="2"/>
  <c r="H377" i="2" s="1"/>
  <c r="I377" i="2" s="1" a="1"/>
  <c r="I377" i="2" s="1"/>
  <c r="G378" i="2"/>
  <c r="H378" i="2" s="1"/>
  <c r="I378" i="2" s="1" a="1"/>
  <c r="I378" i="2" s="1"/>
  <c r="G379" i="2"/>
  <c r="H379" i="2" s="1"/>
  <c r="I379" i="2" s="1" a="1"/>
  <c r="I379" i="2" s="1"/>
  <c r="G380" i="2"/>
  <c r="H380" i="2" s="1"/>
  <c r="I380" i="2" s="1" a="1"/>
  <c r="I380" i="2" s="1"/>
  <c r="G381" i="2"/>
  <c r="H381" i="2" s="1"/>
  <c r="I381" i="2" s="1" a="1"/>
  <c r="I381" i="2" s="1"/>
  <c r="G382" i="2"/>
  <c r="H382" i="2" s="1"/>
  <c r="I382" i="2" s="1" a="1"/>
  <c r="I382" i="2" s="1"/>
  <c r="G383" i="2"/>
  <c r="H383" i="2" s="1"/>
  <c r="I383" i="2" s="1" a="1"/>
  <c r="I383" i="2" s="1"/>
  <c r="G384" i="2"/>
  <c r="H384" i="2" s="1"/>
  <c r="I384" i="2" s="1" a="1"/>
  <c r="I384" i="2" s="1"/>
  <c r="G385" i="2"/>
  <c r="H385" i="2" s="1"/>
  <c r="I385" i="2" s="1" a="1"/>
  <c r="I385" i="2" s="1"/>
  <c r="G386" i="2"/>
  <c r="H386" i="2" s="1"/>
  <c r="I386" i="2" s="1" a="1"/>
  <c r="I386" i="2" s="1"/>
  <c r="G387" i="2"/>
  <c r="H387" i="2" s="1"/>
  <c r="I387" i="2" s="1" a="1"/>
  <c r="I387" i="2" s="1"/>
  <c r="G388" i="2"/>
  <c r="H388" i="2" s="1"/>
  <c r="I388" i="2" s="1" a="1"/>
  <c r="I388" i="2" s="1"/>
  <c r="G389" i="2"/>
  <c r="H389" i="2" s="1"/>
  <c r="I389" i="2" s="1" a="1"/>
  <c r="I389" i="2" s="1"/>
  <c r="G390" i="2"/>
  <c r="H390" i="2" s="1"/>
  <c r="I390" i="2" s="1" a="1"/>
  <c r="I390" i="2" s="1"/>
  <c r="G391" i="2"/>
  <c r="H391" i="2" s="1"/>
  <c r="I391" i="2" s="1" a="1"/>
  <c r="I391" i="2" s="1"/>
  <c r="G392" i="2"/>
  <c r="H392" i="2" s="1"/>
  <c r="I392" i="2" s="1" a="1"/>
  <c r="I392" i="2" s="1"/>
  <c r="G393" i="2"/>
  <c r="H393" i="2" s="1"/>
  <c r="I393" i="2" s="1" a="1"/>
  <c r="I393" i="2" s="1"/>
  <c r="G394" i="2"/>
  <c r="H394" i="2" s="1"/>
  <c r="I394" i="2" s="1" a="1"/>
  <c r="I394" i="2" s="1"/>
  <c r="G395" i="2"/>
  <c r="H395" i="2" s="1"/>
  <c r="I395" i="2" s="1" a="1"/>
  <c r="I395" i="2" s="1"/>
  <c r="G396" i="2"/>
  <c r="H396" i="2" s="1"/>
  <c r="I396" i="2" s="1" a="1"/>
  <c r="I396" i="2" s="1"/>
  <c r="G397" i="2"/>
  <c r="H397" i="2" s="1"/>
  <c r="I397" i="2" s="1" a="1"/>
  <c r="I397" i="2" s="1"/>
  <c r="G398" i="2"/>
  <c r="H398" i="2" s="1"/>
  <c r="I398" i="2" s="1" a="1"/>
  <c r="I398" i="2" s="1"/>
  <c r="G399" i="2"/>
  <c r="H399" i="2" s="1"/>
  <c r="I399" i="2" s="1" a="1"/>
  <c r="I399" i="2" s="1"/>
  <c r="G400" i="2"/>
  <c r="H400" i="2" s="1"/>
  <c r="I400" i="2" s="1" a="1"/>
  <c r="I400" i="2" s="1"/>
  <c r="G401" i="2"/>
  <c r="H401" i="2" s="1"/>
  <c r="I401" i="2" s="1" a="1"/>
  <c r="I401" i="2" s="1"/>
  <c r="G402" i="2"/>
  <c r="H402" i="2" s="1"/>
  <c r="I402" i="2" s="1" a="1"/>
  <c r="I402" i="2" s="1"/>
  <c r="G403" i="2"/>
  <c r="H403" i="2" s="1"/>
  <c r="I403" i="2" s="1" a="1"/>
  <c r="I403" i="2" s="1"/>
  <c r="G404" i="2"/>
  <c r="H404" i="2" s="1"/>
  <c r="I404" i="2" s="1" a="1"/>
  <c r="I404" i="2" s="1"/>
  <c r="G405" i="2"/>
  <c r="H405" i="2" s="1"/>
  <c r="I405" i="2" s="1" a="1"/>
  <c r="I405" i="2" s="1"/>
  <c r="G406" i="2"/>
  <c r="H406" i="2" s="1"/>
  <c r="I406" i="2" s="1" a="1"/>
  <c r="I406" i="2" s="1"/>
  <c r="G407" i="2"/>
  <c r="H407" i="2" s="1"/>
  <c r="I407" i="2" s="1" a="1"/>
  <c r="I407" i="2" s="1"/>
  <c r="G408" i="2"/>
  <c r="H408" i="2" s="1"/>
  <c r="I408" i="2" s="1" a="1"/>
  <c r="I408" i="2" s="1"/>
  <c r="G409" i="2"/>
  <c r="H409" i="2" s="1"/>
  <c r="I409" i="2" s="1" a="1"/>
  <c r="I409" i="2" s="1"/>
  <c r="G410" i="2"/>
  <c r="H410" i="2" s="1"/>
  <c r="I410" i="2" s="1" a="1"/>
  <c r="I410" i="2" s="1"/>
  <c r="G411" i="2"/>
  <c r="H411" i="2" s="1"/>
  <c r="I411" i="2" s="1" a="1"/>
  <c r="I411" i="2" s="1"/>
  <c r="G412" i="2"/>
  <c r="H412" i="2" s="1"/>
  <c r="I412" i="2" s="1" a="1"/>
  <c r="I412" i="2" s="1"/>
  <c r="G413" i="2"/>
  <c r="H413" i="2" s="1"/>
  <c r="I413" i="2" s="1" a="1"/>
  <c r="I413" i="2" s="1"/>
  <c r="G414" i="2"/>
  <c r="H414" i="2" s="1"/>
  <c r="I414" i="2" s="1" a="1"/>
  <c r="I414" i="2" s="1"/>
  <c r="G415" i="2"/>
  <c r="H415" i="2" s="1"/>
  <c r="I415" i="2" s="1" a="1"/>
  <c r="I415" i="2" s="1"/>
  <c r="G416" i="2"/>
  <c r="H416" i="2" s="1"/>
  <c r="I416" i="2" s="1" a="1"/>
  <c r="I416" i="2" s="1"/>
  <c r="G417" i="2"/>
  <c r="H417" i="2" s="1"/>
  <c r="I417" i="2" s="1" a="1"/>
  <c r="I417" i="2" s="1"/>
  <c r="G418" i="2"/>
  <c r="H418" i="2" s="1"/>
  <c r="I418" i="2" s="1" a="1"/>
  <c r="I418" i="2" s="1"/>
  <c r="G419" i="2"/>
  <c r="H419" i="2" s="1"/>
  <c r="I419" i="2" s="1" a="1"/>
  <c r="I419" i="2" s="1"/>
  <c r="G420" i="2"/>
  <c r="H420" i="2" s="1"/>
  <c r="I420" i="2" s="1" a="1"/>
  <c r="I420" i="2" s="1"/>
  <c r="G421" i="2"/>
  <c r="H421" i="2" s="1"/>
  <c r="I421" i="2" s="1" a="1"/>
  <c r="I421" i="2" s="1"/>
  <c r="G422" i="2"/>
  <c r="H422" i="2" s="1"/>
  <c r="I422" i="2" s="1" a="1"/>
  <c r="I422" i="2" s="1"/>
  <c r="G423" i="2"/>
  <c r="H423" i="2" s="1"/>
  <c r="I423" i="2" s="1" a="1"/>
  <c r="I423" i="2" s="1"/>
  <c r="G424" i="2"/>
  <c r="H424" i="2" s="1"/>
  <c r="I424" i="2" s="1" a="1"/>
  <c r="I424" i="2" s="1"/>
  <c r="G425" i="2"/>
  <c r="H425" i="2" s="1"/>
  <c r="I425" i="2" s="1" a="1"/>
  <c r="I425" i="2" s="1"/>
  <c r="G426" i="2"/>
  <c r="H426" i="2" s="1"/>
  <c r="I426" i="2" s="1" a="1"/>
  <c r="I426" i="2" s="1"/>
  <c r="G427" i="2"/>
  <c r="H427" i="2" s="1"/>
  <c r="I427" i="2" s="1" a="1"/>
  <c r="I427" i="2" s="1"/>
  <c r="G428" i="2"/>
  <c r="H428" i="2" s="1"/>
  <c r="I428" i="2" s="1" a="1"/>
  <c r="I428" i="2" s="1"/>
  <c r="G429" i="2"/>
  <c r="H429" i="2" s="1"/>
  <c r="I429" i="2" s="1" a="1"/>
  <c r="I429" i="2" s="1"/>
  <c r="G430" i="2"/>
  <c r="H430" i="2" s="1"/>
  <c r="I430" i="2" s="1" a="1"/>
  <c r="I430" i="2" s="1"/>
  <c r="G431" i="2"/>
  <c r="H431" i="2" s="1"/>
  <c r="I431" i="2" s="1" a="1"/>
  <c r="I431" i="2" s="1"/>
  <c r="G432" i="2"/>
  <c r="H432" i="2" s="1"/>
  <c r="I432" i="2" s="1" a="1"/>
  <c r="I432" i="2" s="1"/>
  <c r="G433" i="2"/>
  <c r="H433" i="2" s="1"/>
  <c r="I433" i="2" s="1" a="1"/>
  <c r="I433" i="2" s="1"/>
  <c r="G434" i="2"/>
  <c r="H434" i="2" s="1"/>
  <c r="I434" i="2" s="1" a="1"/>
  <c r="I434" i="2" s="1"/>
  <c r="G435" i="2"/>
  <c r="H435" i="2" s="1"/>
  <c r="I435" i="2" s="1" a="1"/>
  <c r="I435" i="2" s="1"/>
  <c r="G436" i="2"/>
  <c r="H436" i="2" s="1"/>
  <c r="I436" i="2" s="1" a="1"/>
  <c r="I436" i="2" s="1"/>
  <c r="G437" i="2"/>
  <c r="H437" i="2" s="1"/>
  <c r="I437" i="2" s="1" a="1"/>
  <c r="I437" i="2" s="1"/>
  <c r="G438" i="2"/>
  <c r="H438" i="2" s="1"/>
  <c r="I438" i="2" s="1" a="1"/>
  <c r="I438" i="2" s="1"/>
  <c r="G439" i="2"/>
  <c r="H439" i="2" s="1"/>
  <c r="I439" i="2" s="1" a="1"/>
  <c r="I439" i="2" s="1"/>
  <c r="G440" i="2"/>
  <c r="H440" i="2" s="1"/>
  <c r="I440" i="2" s="1" a="1"/>
  <c r="I440" i="2" s="1"/>
  <c r="G441" i="2"/>
  <c r="H441" i="2" s="1"/>
  <c r="I441" i="2" s="1" a="1"/>
  <c r="I441" i="2" s="1"/>
  <c r="G442" i="2"/>
  <c r="H442" i="2" s="1"/>
  <c r="I442" i="2" s="1" a="1"/>
  <c r="I442" i="2" s="1"/>
  <c r="G443" i="2"/>
  <c r="H443" i="2" s="1"/>
  <c r="I443" i="2" s="1" a="1"/>
  <c r="I443" i="2" s="1"/>
  <c r="G444" i="2"/>
  <c r="H444" i="2" s="1"/>
  <c r="I444" i="2" s="1" a="1"/>
  <c r="I444" i="2" s="1"/>
  <c r="G445" i="2"/>
  <c r="H445" i="2" s="1"/>
  <c r="I445" i="2" s="1" a="1"/>
  <c r="I445" i="2" s="1"/>
  <c r="G446" i="2"/>
  <c r="H446" i="2" s="1"/>
  <c r="I446" i="2" s="1" a="1"/>
  <c r="I446" i="2" s="1"/>
  <c r="G447" i="2"/>
  <c r="H447" i="2" s="1"/>
  <c r="I447" i="2" s="1" a="1"/>
  <c r="I447" i="2" s="1"/>
  <c r="G448" i="2"/>
  <c r="H448" i="2" s="1"/>
  <c r="I448" i="2" s="1" a="1"/>
  <c r="I448" i="2" s="1"/>
  <c r="G449" i="2"/>
  <c r="H449" i="2" s="1"/>
  <c r="I449" i="2" s="1" a="1"/>
  <c r="I449" i="2" s="1"/>
  <c r="G450" i="2"/>
  <c r="H450" i="2" s="1"/>
  <c r="I450" i="2" s="1" a="1"/>
  <c r="I450" i="2" s="1"/>
  <c r="G451" i="2"/>
  <c r="H451" i="2" s="1"/>
  <c r="I451" i="2" s="1" a="1"/>
  <c r="I451" i="2" s="1"/>
  <c r="G452" i="2"/>
  <c r="H452" i="2" s="1"/>
  <c r="I452" i="2" s="1" a="1"/>
  <c r="I452" i="2" s="1"/>
  <c r="G453" i="2"/>
  <c r="H453" i="2" s="1"/>
  <c r="I453" i="2" s="1" a="1"/>
  <c r="I453" i="2" s="1"/>
  <c r="G454" i="2"/>
  <c r="H454" i="2" s="1"/>
  <c r="I454" i="2" s="1" a="1"/>
  <c r="I454" i="2" s="1"/>
  <c r="G455" i="2"/>
  <c r="H455" i="2" s="1"/>
  <c r="I455" i="2" s="1" a="1"/>
  <c r="I455" i="2" s="1"/>
  <c r="G456" i="2"/>
  <c r="H456" i="2" s="1"/>
  <c r="I456" i="2" s="1" a="1"/>
  <c r="I456" i="2" s="1"/>
  <c r="G457" i="2"/>
  <c r="H457" i="2" s="1"/>
  <c r="I457" i="2" s="1" a="1"/>
  <c r="I457" i="2" s="1"/>
  <c r="G458" i="2"/>
  <c r="H458" i="2" s="1"/>
  <c r="I458" i="2" s="1" a="1"/>
  <c r="I458" i="2" s="1"/>
  <c r="G459" i="2"/>
  <c r="H459" i="2" s="1"/>
  <c r="I459" i="2" s="1" a="1"/>
  <c r="I459" i="2" s="1"/>
  <c r="G460" i="2"/>
  <c r="H460" i="2" s="1"/>
  <c r="I460" i="2" s="1" a="1"/>
  <c r="I460" i="2" s="1"/>
  <c r="G461" i="2"/>
  <c r="H461" i="2" s="1"/>
  <c r="I461" i="2" s="1" a="1"/>
  <c r="I461" i="2" s="1"/>
  <c r="G462" i="2"/>
  <c r="H462" i="2" s="1"/>
  <c r="I462" i="2" s="1" a="1"/>
  <c r="I462" i="2" s="1"/>
  <c r="G463" i="2"/>
  <c r="H463" i="2" s="1"/>
  <c r="I463" i="2" s="1" a="1"/>
  <c r="I463" i="2" s="1"/>
  <c r="G464" i="2"/>
  <c r="H464" i="2" s="1"/>
  <c r="I464" i="2" s="1" a="1"/>
  <c r="I464" i="2" s="1"/>
  <c r="G465" i="2"/>
  <c r="H465" i="2" s="1"/>
  <c r="I465" i="2" s="1" a="1"/>
  <c r="I465" i="2" s="1"/>
  <c r="G466" i="2"/>
  <c r="H466" i="2" s="1"/>
  <c r="I466" i="2" s="1" a="1"/>
  <c r="I466" i="2" s="1"/>
  <c r="G467" i="2"/>
  <c r="H467" i="2" s="1"/>
  <c r="I467" i="2" s="1" a="1"/>
  <c r="I467" i="2" s="1"/>
  <c r="G468" i="2"/>
  <c r="H468" i="2" s="1"/>
  <c r="I468" i="2" s="1" a="1"/>
  <c r="I468" i="2" s="1"/>
  <c r="G469" i="2"/>
  <c r="H469" i="2" s="1"/>
  <c r="I469" i="2" s="1" a="1"/>
  <c r="I469" i="2" s="1"/>
  <c r="G470" i="2"/>
  <c r="H470" i="2" s="1"/>
  <c r="I470" i="2" s="1" a="1"/>
  <c r="I470" i="2" s="1"/>
  <c r="G471" i="2"/>
  <c r="H471" i="2" s="1"/>
  <c r="I471" i="2" s="1" a="1"/>
  <c r="I471" i="2" s="1"/>
  <c r="G472" i="2"/>
  <c r="H472" i="2" s="1"/>
  <c r="I472" i="2" s="1" a="1"/>
  <c r="I472" i="2" s="1"/>
  <c r="G473" i="2"/>
  <c r="H473" i="2" s="1"/>
  <c r="I473" i="2" s="1" a="1"/>
  <c r="I473" i="2" s="1"/>
  <c r="G474" i="2"/>
  <c r="H474" i="2" s="1"/>
  <c r="I474" i="2" s="1" a="1"/>
  <c r="I474" i="2" s="1"/>
  <c r="G475" i="2"/>
  <c r="H475" i="2" s="1"/>
  <c r="I475" i="2" s="1" a="1"/>
  <c r="I475" i="2" s="1"/>
  <c r="G476" i="2"/>
  <c r="H476" i="2" s="1"/>
  <c r="I476" i="2" s="1" a="1"/>
  <c r="I476" i="2" s="1"/>
  <c r="G477" i="2"/>
  <c r="H477" i="2" s="1"/>
  <c r="I477" i="2" s="1" a="1"/>
  <c r="I477" i="2" s="1"/>
  <c r="G478" i="2"/>
  <c r="H478" i="2" s="1"/>
  <c r="I478" i="2" s="1" a="1"/>
  <c r="I478" i="2" s="1"/>
  <c r="G479" i="2"/>
  <c r="H479" i="2" s="1"/>
  <c r="I479" i="2" s="1" a="1"/>
  <c r="I479" i="2" s="1"/>
  <c r="G480" i="2"/>
  <c r="H480" i="2" s="1"/>
  <c r="I480" i="2" s="1" a="1"/>
  <c r="I480" i="2" s="1"/>
  <c r="G481" i="2"/>
  <c r="H481" i="2" s="1"/>
  <c r="I481" i="2" s="1" a="1"/>
  <c r="I481" i="2" s="1"/>
  <c r="G482" i="2"/>
  <c r="H482" i="2" s="1"/>
  <c r="I482" i="2" s="1" a="1"/>
  <c r="I482" i="2" s="1"/>
  <c r="G483" i="2"/>
  <c r="H483" i="2" s="1"/>
  <c r="I483" i="2" s="1" a="1"/>
  <c r="I483" i="2" s="1"/>
  <c r="G3" i="2"/>
  <c r="H3" i="2" s="1"/>
  <c r="I3" i="2" s="1" a="1"/>
  <c r="I3" i="2" s="1"/>
  <c r="F1" i="3"/>
  <c r="Q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<sst xmlns="http://schemas.openxmlformats.org/spreadsheetml/2006/main" count="6249" uniqueCount="1811">
  <si>
    <t>rank</t>
  </si>
  <si>
    <t>finalWorth</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</si>
  <si>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</si>
  <si>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</si>
  <si>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</si>
  <si>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</si>
  <si>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</si>
  <si>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</si>
  <si>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</si>
  <si>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</si>
  <si>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</si>
  <si>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</si>
  <si>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</si>
  <si>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</si>
  <si>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</si>
  <si>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</si>
  <si>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</si>
  <si>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</si>
  <si>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</si>
  <si>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</si>
  <si>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</si>
  <si>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</si>
  <si>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</si>
  <si>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</si>
  <si>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</si>
  <si>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</si>
  <si>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</si>
  <si>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</si>
  <si>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</si>
  <si>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</si>
  <si>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</si>
  <si>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</si>
  <si>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</si>
  <si>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</si>
  <si>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</si>
  <si>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</si>
  <si>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</si>
  <si>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</si>
  <si>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</si>
  <si>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</si>
  <si>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</si>
  <si>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</si>
  <si>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</si>
  <si>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</si>
  <si>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</si>
  <si>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</si>
  <si>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</si>
  <si>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</si>
  <si>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</si>
  <si>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</si>
  <si>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</si>
  <si>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</si>
  <si>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</si>
  <si>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</si>
  <si>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</si>
  <si>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</si>
  <si>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</si>
  <si>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</si>
  <si>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</si>
  <si>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</si>
  <si>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</si>
  <si>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</si>
  <si>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</si>
  <si>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</si>
  <si>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</si>
  <si>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</si>
  <si>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</si>
  <si>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</si>
  <si>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</si>
  <si>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</si>
  <si>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</si>
  <si>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</si>
  <si>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</si>
  <si>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</si>
  <si>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</si>
  <si>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</si>
  <si>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</si>
  <si>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</si>
  <si>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</si>
  <si>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</si>
  <si>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</si>
  <si>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</si>
  <si>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</si>
  <si>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</si>
  <si>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</si>
  <si>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</si>
  <si>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</si>
  <si>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</si>
  <si>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</si>
  <si>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</si>
  <si>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</si>
  <si>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</si>
  <si>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</si>
  <si>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</si>
  <si>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</si>
  <si>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</si>
  <si>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</si>
  <si>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</si>
  <si>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</si>
  <si>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</si>
  <si>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</si>
  <si>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</si>
  <si>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</si>
  <si>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</si>
  <si>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</si>
  <si>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</si>
  <si>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</si>
  <si>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</si>
  <si>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</si>
  <si>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</si>
  <si>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</si>
  <si>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</si>
  <si>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</si>
  <si>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</si>
  <si>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</si>
  <si>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</si>
  <si>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</si>
  <si>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</si>
  <si>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</si>
  <si>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</si>
  <si>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</si>
  <si>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</si>
  <si>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</si>
  <si>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</si>
  <si>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</si>
  <si>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</si>
  <si>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</si>
  <si>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</si>
  <si>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</si>
  <si>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</si>
  <si>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</si>
  <si>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</si>
  <si>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</si>
  <si>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</si>
  <si>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</si>
  <si>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</si>
  <si>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</si>
  <si>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</si>
  <si>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</si>
  <si>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</si>
  <si>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</si>
  <si>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</si>
  <si>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</si>
  <si>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</si>
  <si>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</si>
  <si>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</si>
  <si>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</si>
  <si>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</si>
  <si>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</si>
  <si>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</si>
  <si>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</si>
  <si>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</si>
  <si>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</si>
  <si>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</si>
  <si>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</si>
  <si>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</si>
  <si>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</si>
  <si>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</si>
  <si>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</si>
  <si>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</si>
  <si>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</si>
  <si>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</si>
  <si>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</si>
  <si>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</si>
  <si>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</si>
  <si>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</si>
  <si>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</si>
  <si>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</si>
  <si>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</si>
  <si>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</si>
  <si>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</si>
  <si>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</si>
  <si>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</si>
  <si>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</si>
  <si>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</si>
  <si>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</si>
  <si>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</si>
  <si>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</si>
  <si>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</si>
  <si>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</si>
  <si>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</si>
  <si>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</si>
  <si>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</si>
  <si>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</si>
  <si>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</si>
  <si>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</si>
  <si>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</si>
  <si>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</si>
  <si>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</si>
  <si>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</si>
  <si>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</si>
  <si>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</si>
  <si>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</si>
  <si>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</si>
  <si>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</si>
  <si>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</si>
  <si>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</si>
  <si>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</si>
  <si>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</si>
  <si>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</si>
  <si>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</si>
  <si>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</si>
  <si>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</si>
  <si>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</si>
  <si>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</si>
  <si>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</si>
  <si>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</si>
  <si>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</si>
  <si>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</si>
  <si>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</si>
  <si>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</si>
  <si>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</si>
  <si>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</si>
  <si>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</si>
  <si>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</si>
  <si>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</si>
  <si>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</si>
  <si>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</si>
  <si>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</si>
  <si>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</si>
  <si>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</si>
  <si>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</si>
  <si>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</si>
  <si>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</si>
  <si>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</si>
  <si>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</si>
  <si>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</si>
  <si>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</si>
  <si>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</si>
  <si>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</si>
  <si>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</si>
  <si>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</si>
  <si>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</si>
  <si>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</si>
  <si>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</si>
  <si>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</si>
  <si>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</si>
  <si>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</si>
  <si>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</si>
  <si>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</si>
  <si>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</si>
  <si>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</si>
  <si>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</si>
  <si>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</si>
  <si>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</si>
  <si>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</si>
  <si>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</si>
  <si>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</si>
  <si>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</si>
  <si>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</si>
  <si>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</si>
  <si>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</si>
  <si>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</si>
  <si>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</si>
  <si>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</si>
  <si>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</si>
  <si>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</si>
  <si>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</si>
  <si>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</si>
  <si>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</si>
  <si>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</si>
  <si>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</si>
  <si>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</si>
  <si>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</si>
  <si>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</si>
  <si>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</si>
  <si>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</si>
  <si>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</si>
  <si>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</si>
  <si>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</si>
  <si>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</si>
  <si>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</si>
  <si>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</si>
  <si>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</si>
  <si>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</si>
  <si>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</si>
  <si>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</si>
  <si>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</si>
  <si>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</si>
  <si>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</si>
  <si>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</si>
  <si>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</si>
  <si>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</si>
  <si>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</si>
  <si>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</si>
  <si>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</si>
  <si>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</si>
  <si>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</si>
  <si>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</si>
  <si>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</si>
  <si>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</si>
  <si>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</si>
  <si>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</si>
  <si>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</si>
  <si>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</si>
  <si>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</si>
  <si>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</si>
  <si>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</si>
  <si>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</si>
  <si>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</si>
  <si>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</si>
  <si>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</si>
  <si>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</si>
  <si>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</si>
  <si>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</si>
  <si>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</si>
  <si>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</si>
  <si>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</si>
  <si>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</si>
  <si>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</si>
  <si>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</si>
  <si>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</si>
  <si>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</si>
  <si>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</si>
  <si>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</si>
  <si>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</si>
  <si>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</si>
  <si>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</si>
  <si>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</si>
  <si>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</si>
  <si>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</si>
  <si>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</si>
  <si>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</si>
  <si>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</si>
  <si>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</si>
  <si>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</si>
  <si>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</si>
  <si>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</si>
  <si>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</si>
  <si>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</si>
  <si>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</si>
  <si>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</si>
  <si>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</si>
  <si>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</si>
  <si>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</si>
  <si>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</si>
  <si>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</si>
  <si>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</si>
  <si>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</si>
  <si>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</si>
  <si>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</si>
  <si>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</si>
  <si>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</si>
  <si>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</si>
  <si>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</si>
  <si>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</si>
  <si>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</si>
  <si>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</si>
  <si>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</si>
  <si>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</si>
  <si>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</si>
  <si>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</si>
  <si>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</si>
  <si>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</si>
  <si>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</si>
  <si>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</si>
  <si>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</si>
  <si>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</si>
  <si>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</si>
  <si>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</si>
  <si>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</si>
  <si>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</si>
  <si>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</si>
  <si>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</si>
  <si>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</si>
  <si>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</si>
  <si>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</si>
  <si>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</si>
  <si>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</si>
  <si>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</si>
  <si>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</si>
  <si>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</si>
  <si>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</si>
  <si>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</si>
  <si>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</si>
  <si>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</si>
  <si>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</si>
  <si>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</si>
  <si>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</si>
  <si>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</si>
  <si>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</si>
  <si>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</si>
  <si>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</si>
  <si>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</si>
  <si>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</si>
  <si>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</si>
  <si>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</si>
  <si>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</si>
  <si>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</si>
  <si>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</si>
  <si>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</si>
  <si>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</si>
  <si>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</si>
  <si>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</si>
  <si>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</si>
  <si>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</si>
  <si>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</si>
  <si>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</si>
  <si>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</si>
  <si>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</si>
  <si>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</si>
  <si>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</si>
  <si>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</si>
  <si>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</si>
  <si>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</si>
  <si>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</si>
  <si>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</si>
  <si>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</si>
  <si>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</si>
  <si>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</si>
  <si>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</si>
  <si>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</si>
  <si>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</si>
  <si>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</si>
  <si>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</si>
  <si>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</si>
  <si>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</si>
  <si>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</si>
  <si>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</si>
  <si>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</si>
  <si>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</si>
  <si>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</si>
  <si>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</si>
  <si>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</si>
  <si>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</si>
  <si>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</si>
  <si>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</si>
  <si>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</si>
  <si>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</si>
  <si>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</si>
  <si>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</si>
  <si>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</si>
  <si>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</si>
  <si>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</si>
  <si>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</si>
  <si>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</si>
  <si>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</si>
  <si>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</si>
  <si>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</si>
  <si>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</si>
  <si>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</si>
  <si>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</si>
  <si>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</si>
  <si>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</si>
  <si>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</si>
  <si>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</si>
  <si>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</si>
  <si>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</si>
  <si>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</si>
  <si>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</si>
  <si>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</si>
  <si>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</si>
  <si>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</si>
  <si>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</si>
  <si>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</si>
  <si>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</si>
  <si>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</si>
  <si>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</si>
  <si>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</si>
  <si>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</si>
  <si>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</si>
  <si>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</si>
  <si>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</si>
  <si>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</si>
  <si>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</si>
  <si>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</si>
  <si>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</si>
  <si>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</si>
  <si>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</si>
  <si>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</si>
  <si>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</si>
  <si>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</si>
  <si>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</si>
  <si>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</si>
  <si>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</si>
  <si>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</si>
  <si>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</si>
  <si>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</si>
  <si>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</si>
  <si>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</si>
  <si>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</si>
  <si>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</si>
  <si>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</si>
  <si>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</si>
  <si>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</si>
  <si>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</si>
  <si>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</si>
  <si>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</si>
  <si>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</si>
  <si>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</si>
  <si>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</si>
  <si>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</si>
  <si>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</si>
  <si>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</si>
  <si>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</si>
  <si>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</si>
  <si>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</si>
  <si>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</si>
  <si>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</si>
  <si>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</si>
  <si>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</si>
  <si>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</si>
  <si>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</si>
  <si>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</si>
  <si>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</si>
  <si>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</si>
  <si>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</si>
  <si>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</si>
  <si>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</si>
  <si>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</si>
  <si>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</si>
  <si>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</si>
  <si>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</si>
  <si>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</si>
  <si>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</si>
  <si>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</si>
  <si>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</si>
  <si>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</si>
  <si>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</si>
  <si>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</si>
  <si>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</si>
  <si>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</si>
  <si>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</si>
  <si>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</si>
  <si>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</si>
  <si>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</si>
  <si>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</si>
  <si>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</si>
  <si>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</si>
  <si>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</si>
  <si>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</si>
  <si>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</si>
  <si>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</si>
  <si>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</si>
  <si>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</si>
  <si>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</si>
  <si>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</si>
  <si>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</si>
  <si>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</si>
  <si>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</si>
  <si>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</si>
  <si>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</si>
  <si>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</si>
  <si>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</si>
  <si>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</si>
  <si>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</si>
  <si>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</si>
  <si>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</si>
  <si>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</si>
  <si>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</si>
  <si>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</si>
  <si>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</si>
  <si>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</si>
  <si>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</si>
  <si>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</si>
  <si>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</si>
  <si>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</si>
  <si>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</si>
  <si>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</si>
  <si>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</si>
  <si>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</si>
  <si>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</si>
  <si>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</si>
  <si>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</si>
  <si>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</si>
  <si>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</si>
  <si>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</si>
  <si>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</si>
  <si>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</si>
  <si>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</si>
  <si>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</si>
  <si>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</si>
  <si>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</si>
  <si>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</si>
  <si>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</si>
  <si>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</si>
  <si>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</si>
  <si>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</si>
  <si>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</si>
  <si>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</si>
  <si>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</si>
  <si>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</si>
  <si>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</si>
  <si>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</si>
  <si>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</si>
  <si>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</si>
  <si>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</si>
  <si>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</si>
  <si>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</si>
  <si>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</si>
  <si>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</si>
  <si>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</si>
  <si>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</si>
  <si>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</si>
  <si>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</si>
  <si>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</si>
  <si>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</si>
  <si>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</si>
  <si>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</si>
  <si>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</si>
  <si>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</si>
  <si>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</si>
  <si>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</si>
  <si>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</si>
  <si>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</si>
  <si>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</si>
  <si>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</si>
  <si>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</si>
  <si>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</si>
  <si>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</si>
  <si>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</si>
  <si>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</si>
  <si>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</si>
  <si>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</si>
  <si>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</si>
  <si>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</si>
  <si>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</si>
  <si>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</si>
  <si>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</si>
  <si>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</si>
  <si>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</si>
  <si>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</si>
  <si>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</si>
  <si>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</si>
  <si>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</si>
  <si>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</si>
  <si>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</si>
  <si>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</si>
  <si>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</si>
  <si>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</si>
  <si>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</si>
  <si>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</si>
  <si>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</si>
  <si>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</si>
  <si>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</si>
  <si>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</si>
  <si>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</si>
  <si>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</si>
  <si>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</si>
  <si>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</si>
  <si>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</si>
  <si>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</si>
  <si>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</si>
  <si>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</si>
  <si>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</si>
  <si>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</si>
  <si>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</si>
  <si>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</si>
  <si>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</si>
  <si>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</si>
  <si>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</si>
  <si>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</si>
  <si>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</si>
  <si>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</si>
  <si>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</si>
  <si>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</si>
  <si>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</si>
  <si>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</si>
  <si>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</si>
  <si>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</si>
  <si>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</si>
  <si>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</si>
  <si>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</si>
  <si>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</si>
  <si>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</si>
  <si>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</si>
  <si>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</si>
  <si>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</si>
  <si>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</si>
  <si>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</si>
  <si>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</si>
  <si>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</si>
  <si>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</si>
  <si>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</si>
  <si>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</si>
  <si>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</si>
  <si>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</si>
  <si>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</si>
  <si>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</si>
  <si>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</si>
  <si>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</si>
  <si>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</si>
  <si>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</si>
  <si>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</si>
  <si>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</si>
  <si>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</si>
  <si>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</si>
  <si>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</si>
  <si>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</si>
  <si>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</si>
  <si>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</si>
  <si>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</si>
  <si>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</si>
  <si>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</si>
  <si>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</si>
  <si>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</si>
  <si>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</si>
  <si>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</si>
  <si>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</si>
  <si>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</si>
  <si>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</si>
  <si>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</si>
  <si>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</si>
  <si>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</si>
  <si>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</si>
  <si>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</si>
  <si>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</si>
  <si>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</si>
  <si>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</si>
  <si>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</si>
  <si>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</si>
  <si>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</si>
  <si>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</si>
  <si>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</si>
  <si>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</si>
  <si>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</si>
  <si>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</si>
  <si>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</si>
  <si>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</si>
  <si>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</si>
  <si>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</si>
  <si>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</si>
  <si>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</si>
  <si>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</si>
  <si>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</si>
  <si>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</si>
  <si>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</si>
  <si>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</si>
  <si>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</si>
  <si>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</si>
  <si>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</si>
  <si>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</si>
  <si>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</si>
  <si>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</si>
  <si>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</si>
  <si>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</si>
  <si>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</si>
  <si>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</si>
  <si>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</si>
  <si>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</si>
  <si>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</si>
  <si>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</si>
  <si>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</si>
  <si>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</si>
  <si>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</si>
  <si>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</si>
  <si>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</si>
  <si>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</si>
  <si>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</si>
  <si>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</si>
  <si>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</si>
  <si>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</si>
  <si>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</si>
  <si>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</si>
  <si>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</si>
  <si>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</si>
  <si>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</si>
  <si>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</si>
  <si>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</si>
  <si>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</si>
  <si>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</si>
  <si>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</si>
  <si>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</si>
  <si>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</si>
  <si>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</si>
  <si>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</si>
  <si>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</si>
  <si>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</si>
  <si>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</si>
  <si>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</si>
  <si>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</si>
  <si>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</si>
  <si>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</si>
  <si>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</si>
  <si>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</si>
  <si>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</si>
  <si>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</si>
  <si>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</si>
  <si>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</si>
  <si>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</si>
  <si>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</si>
  <si>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</si>
  <si>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</si>
  <si>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</si>
  <si>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</si>
  <si>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</si>
  <si>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</si>
  <si>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</si>
  <si>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</si>
  <si>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</si>
  <si>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</si>
  <si>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</si>
  <si>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</si>
  <si>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</si>
  <si>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</si>
  <si>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</si>
  <si>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</si>
  <si>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</si>
  <si>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</si>
  <si>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</si>
  <si>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</si>
  <si>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</si>
  <si>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</si>
  <si>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</si>
  <si>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</si>
  <si>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</si>
  <si>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</si>
  <si>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</si>
  <si>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</si>
  <si>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</si>
  <si>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</si>
  <si>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</si>
  <si>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</si>
  <si>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</si>
  <si>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</si>
  <si>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</si>
  <si>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</si>
  <si>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</si>
  <si>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</si>
  <si>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</si>
  <si>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</si>
  <si>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</si>
  <si>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</si>
  <si>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</si>
  <si>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</si>
  <si>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</si>
  <si>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</si>
  <si>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</si>
  <si>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</si>
  <si>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</si>
  <si>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</si>
  <si>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</si>
  <si>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</si>
  <si>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</si>
  <si>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</si>
  <si>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</si>
  <si>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</si>
  <si>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</si>
  <si>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</si>
  <si>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</si>
  <si>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</si>
  <si>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</si>
  <si>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</si>
  <si>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</si>
  <si>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</si>
  <si>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</si>
  <si>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</si>
  <si>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</si>
  <si>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</si>
  <si>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</si>
  <si>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</si>
  <si>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</si>
  <si>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</si>
  <si>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</si>
  <si>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</si>
  <si>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</si>
  <si>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</si>
  <si>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</si>
  <si>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</si>
  <si>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</si>
  <si>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</si>
  <si>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</si>
  <si>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</si>
  <si>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</si>
  <si>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</si>
  <si>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</si>
  <si>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</si>
  <si>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</si>
  <si>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</si>
  <si>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</si>
  <si>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</si>
  <si>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</si>
  <si>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</si>
  <si>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</si>
  <si>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</si>
  <si>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</si>
  <si>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</si>
  <si>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</si>
  <si>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</si>
  <si>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</si>
  <si>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</si>
  <si>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</si>
  <si>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</si>
  <si>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</si>
  <si>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</si>
  <si>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</si>
  <si>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</si>
  <si>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</si>
  <si>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</si>
  <si>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</si>
  <si>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</si>
  <si>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</si>
  <si>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</si>
  <si>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</si>
  <si>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</si>
  <si>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</si>
  <si>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</si>
  <si>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</si>
  <si>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</si>
  <si>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</si>
  <si>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</si>
  <si>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</si>
  <si>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</si>
  <si>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</si>
  <si>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</si>
  <si>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</si>
  <si>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</si>
  <si>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</si>
  <si>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</si>
  <si>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</si>
  <si>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</si>
  <si>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</si>
  <si>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</si>
  <si>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</si>
  <si>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</si>
  <si>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</si>
  <si>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</si>
  <si>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</si>
  <si>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</si>
  <si>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</si>
  <si>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</si>
  <si>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</si>
  <si>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</si>
  <si>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</si>
  <si>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</si>
  <si>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</si>
  <si>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</si>
  <si>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</si>
  <si>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</si>
  <si>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</si>
  <si>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</si>
  <si>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</si>
  <si>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</si>
  <si>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</si>
  <si>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</si>
  <si>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</si>
  <si>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</si>
  <si>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</si>
  <si>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</si>
  <si>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</si>
  <si>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</si>
  <si>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</si>
  <si>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</si>
  <si>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</si>
  <si>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</si>
  <si>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</si>
  <si>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</si>
  <si>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</si>
  <si>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</si>
  <si>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</si>
  <si>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</si>
  <si>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</si>
  <si>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</si>
  <si>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</si>
  <si>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</si>
  <si>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</si>
  <si>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</si>
  <si>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</si>
  <si>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</si>
  <si>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</si>
  <si>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</si>
  <si>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</si>
  <si>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</si>
  <si>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</si>
  <si>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</si>
  <si>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</si>
  <si>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</si>
  <si>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</si>
  <si>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</si>
  <si>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</si>
  <si>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</si>
  <si>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</si>
  <si>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</si>
  <si>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</si>
  <si>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</si>
  <si>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</si>
  <si>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</si>
  <si>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</si>
  <si>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</si>
  <si>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</si>
  <si>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</si>
  <si>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</si>
  <si>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</si>
  <si>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</si>
  <si>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</si>
  <si>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</si>
  <si>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</si>
  <si>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</si>
  <si>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</si>
  <si>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</si>
  <si>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</si>
  <si>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</si>
  <si>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</si>
  <si>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</si>
  <si>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</si>
  <si>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</si>
  <si>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</si>
  <si>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</si>
  <si>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</si>
  <si>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</si>
  <si>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</si>
  <si>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</si>
  <si>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</si>
  <si>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</si>
  <si>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</si>
  <si>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</si>
  <si>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</si>
  <si>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</si>
  <si>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</si>
  <si>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</si>
  <si>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</si>
  <si>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</si>
  <si>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</si>
  <si>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</si>
  <si>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</si>
  <si>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</si>
  <si>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</si>
  <si>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</si>
  <si>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</si>
  <si>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</si>
  <si>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</si>
  <si>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</si>
  <si>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</si>
  <si>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</si>
  <si>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</si>
  <si>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</si>
  <si>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</si>
  <si>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</si>
  <si>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</si>
  <si>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</si>
  <si>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</si>
  <si>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</si>
  <si>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</si>
  <si>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</si>
  <si>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</si>
  <si>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</si>
  <si>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</si>
  <si>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</si>
  <si>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</si>
  <si>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</si>
  <si>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</si>
  <si>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</si>
  <si>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</si>
  <si>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</si>
  <si>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</si>
  <si>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</si>
  <si>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</si>
  <si>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</si>
  <si>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</si>
  <si>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</si>
  <si>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</si>
  <si>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</si>
  <si>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</si>
  <si>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</si>
  <si>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</si>
  <si>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</si>
  <si>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</si>
  <si>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</si>
  <si>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</si>
  <si>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</si>
  <si>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</si>
  <si>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</si>
  <si>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</si>
  <si>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</si>
  <si>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</si>
  <si>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</si>
  <si>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</si>
  <si>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</si>
  <si>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</si>
  <si>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</si>
  <si>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</si>
  <si>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</si>
  <si>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</si>
  <si>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</si>
  <si>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</si>
  <si>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</si>
  <si>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</si>
  <si>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</si>
  <si>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</si>
  <si>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</si>
  <si>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</si>
  <si>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</si>
  <si>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</si>
  <si>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</si>
  <si>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</si>
  <si>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</si>
  <si>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</si>
  <si>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</si>
  <si>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</si>
  <si>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</si>
  <si>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</si>
  <si>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</si>
  <si>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</si>
  <si>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</si>
  <si>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</si>
  <si>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</si>
  <si>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</si>
  <si>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</si>
  <si>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</si>
  <si>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</si>
  <si>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</si>
  <si>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</si>
  <si>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</si>
  <si>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</si>
  <si>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</si>
  <si>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</si>
  <si>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</si>
  <si>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</si>
  <si>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</si>
  <si>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</si>
  <si>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</si>
  <si>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</si>
  <si>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</si>
  <si>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</si>
  <si>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</si>
  <si>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</si>
  <si>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</si>
  <si>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</si>
  <si>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</si>
  <si>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</si>
  <si>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</si>
  <si>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</si>
  <si>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</si>
  <si>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</si>
  <si>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</si>
  <si>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</si>
  <si>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</si>
  <si>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</si>
  <si>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</si>
  <si>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</si>
  <si>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</si>
  <si>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</si>
  <si>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</si>
  <si>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</si>
  <si>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</si>
  <si>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</si>
  <si>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</si>
  <si>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</si>
  <si>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</si>
  <si>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</si>
  <si>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</si>
  <si>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</si>
  <si>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</si>
  <si>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</si>
  <si>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</si>
  <si>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</si>
  <si>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</si>
  <si>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</si>
  <si>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</si>
  <si>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</si>
  <si>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</si>
  <si>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</si>
  <si>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</si>
  <si>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</si>
  <si>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</si>
  <si>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</si>
  <si>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</si>
  <si>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</si>
  <si>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</si>
  <si>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</si>
  <si>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</si>
  <si>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</si>
  <si>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</si>
  <si>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</si>
  <si>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</si>
  <si>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</si>
  <si>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</si>
  <si>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</si>
  <si>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</si>
  <si>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</si>
  <si>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</si>
  <si>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</si>
  <si>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</si>
  <si>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</si>
  <si>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</si>
  <si>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</si>
  <si>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</si>
  <si>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</si>
  <si>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</si>
  <si>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</si>
  <si>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</si>
  <si>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</si>
  <si>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</si>
  <si>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</si>
  <si>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</si>
  <si>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</si>
  <si>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</si>
  <si>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</si>
  <si>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</si>
  <si>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</si>
  <si>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</si>
  <si>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</si>
  <si>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</si>
  <si>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</si>
  <si>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</si>
  <si>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</si>
  <si>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</si>
  <si>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</si>
  <si>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</si>
  <si>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</si>
  <si>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</si>
  <si>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</si>
  <si>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</si>
  <si>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</si>
  <si>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</si>
  <si>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</si>
  <si>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</si>
  <si>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</si>
  <si>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</si>
  <si>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</si>
  <si>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</si>
  <si>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</si>
  <si>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</si>
  <si>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</si>
  <si>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</si>
  <si>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</si>
  <si>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</si>
  <si>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</si>
  <si>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</si>
  <si>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</si>
  <si>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</si>
  <si>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</si>
  <si>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</si>
  <si>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</si>
  <si>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</si>
  <si>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</si>
  <si>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</si>
  <si>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</si>
  <si>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</si>
  <si>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</si>
  <si>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</si>
  <si>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</si>
  <si>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</si>
  <si>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</si>
  <si>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</si>
  <si>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</si>
  <si>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</si>
  <si>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</si>
  <si>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</si>
  <si>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</si>
  <si>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</si>
  <si>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</si>
  <si>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</si>
  <si>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</si>
  <si>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</si>
  <si>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</si>
  <si>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</si>
  <si>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</si>
  <si>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</si>
  <si>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</si>
  <si>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</si>
  <si>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</si>
  <si>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</si>
  <si>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</si>
  <si>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</si>
  <si>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</si>
  <si>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</si>
  <si>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</si>
  <si>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</si>
  <si>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</si>
  <si>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</si>
  <si>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</si>
  <si>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</si>
  <si>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</si>
  <si>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</si>
  <si>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</si>
  <si>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</si>
  <si>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</si>
  <si>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</si>
  <si>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</si>
  <si>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</si>
  <si>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</si>
  <si>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</si>
  <si>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</si>
  <si>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</si>
  <si>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</si>
  <si>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</si>
  <si>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</si>
  <si>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</si>
  <si>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</si>
  <si>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</si>
  <si>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</si>
  <si>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</si>
  <si>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</si>
  <si>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</si>
  <si>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</si>
  <si>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</si>
  <si>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</si>
  <si>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</si>
  <si>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</si>
  <si>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</si>
  <si>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</si>
  <si>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</si>
  <si>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</si>
  <si>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</si>
  <si>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</si>
  <si>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</si>
  <si>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</si>
  <si>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</si>
  <si>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</si>
  <si>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</si>
  <si>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</si>
  <si>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</si>
  <si>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</si>
  <si>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</si>
  <si>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</si>
  <si>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</si>
  <si>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</si>
  <si>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</si>
  <si>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</si>
  <si>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</si>
  <si>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</si>
  <si>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</si>
  <si>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</si>
  <si>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</si>
  <si>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</si>
  <si>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</si>
  <si>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</si>
  <si>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</si>
  <si>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</si>
  <si>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</si>
  <si>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</si>
  <si>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</si>
  <si>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</si>
  <si>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</si>
  <si>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</si>
  <si>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</si>
  <si>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</si>
  <si>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</si>
  <si>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</si>
  <si>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</si>
  <si>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</si>
  <si>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</si>
  <si>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</si>
  <si>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</si>
  <si>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</si>
  <si>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</si>
  <si>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</si>
  <si>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</si>
  <si>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</si>
  <si>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</si>
  <si>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</si>
  <si>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</si>
  <si>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</si>
  <si>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</si>
  <si>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</si>
  <si>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</si>
  <si>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</si>
  <si>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</si>
  <si>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</si>
  <si>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</si>
  <si>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</si>
  <si>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</si>
  <si>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</si>
  <si>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</si>
  <si>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</si>
  <si>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</si>
  <si>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</si>
  <si>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</si>
  <si>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</si>
  <si>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</si>
  <si>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</si>
  <si>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</si>
  <si>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</si>
  <si>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</si>
  <si>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</si>
  <si>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</si>
  <si>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</si>
  <si>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</si>
  <si>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</si>
  <si>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</si>
  <si>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</si>
  <si>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</si>
  <si>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</si>
  <si>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</si>
  <si>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</si>
  <si>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</si>
  <si>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</si>
  <si>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</si>
  <si>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</si>
  <si>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</si>
  <si>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</si>
  <si>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</si>
  <si>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</si>
  <si>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</si>
  <si>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</si>
  <si>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</si>
  <si>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</si>
  <si>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</si>
  <si>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</si>
  <si>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</si>
  <si>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</si>
  <si>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</si>
  <si>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</si>
  <si>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</si>
  <si>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</si>
  <si>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</si>
  <si>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</si>
  <si>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</si>
  <si>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</si>
  <si>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</si>
  <si>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</si>
  <si>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</si>
  <si>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</si>
  <si>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</si>
  <si>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</si>
  <si>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</si>
  <si>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</si>
  <si>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</si>
  <si>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</si>
  <si>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</si>
  <si>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</si>
  <si>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</si>
  <si>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</si>
  <si>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</si>
  <si>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</si>
  <si>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</si>
  <si>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</si>
  <si>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</si>
  <si>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</si>
  <si>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</si>
  <si>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</si>
  <si>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</si>
  <si>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</si>
  <si>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</si>
  <si>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</si>
  <si>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</si>
  <si>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</si>
  <si>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</si>
  <si>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</si>
  <si>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</si>
  <si>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</si>
  <si>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</si>
  <si>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</si>
  <si>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</si>
  <si>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</si>
  <si>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</si>
  <si>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</si>
  <si>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</si>
  <si>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</si>
  <si>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</si>
  <si>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</si>
  <si>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</si>
  <si>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</si>
  <si>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</si>
  <si>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</si>
  <si>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</si>
  <si>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</si>
  <si>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</si>
  <si>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</si>
  <si>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</si>
  <si>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</si>
  <si>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</si>
  <si>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</si>
  <si>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</si>
  <si>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</si>
  <si>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</si>
  <si>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</si>
  <si>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</si>
  <si>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</si>
  <si>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</si>
  <si>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</si>
  <si>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</si>
  <si>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</si>
  <si>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</si>
  <si>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</si>
  <si>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</si>
  <si>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</si>
  <si>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</si>
  <si>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</si>
  <si>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</si>
  <si>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</si>
  <si>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</si>
  <si>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</si>
  <si>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</si>
  <si>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</si>
  <si>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</si>
  <si>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</si>
  <si>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</si>
  <si>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</si>
  <si>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</si>
  <si>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</si>
  <si>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</si>
  <si>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</si>
  <si>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</si>
  <si>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</si>
  <si>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</si>
  <si>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</si>
  <si>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</si>
  <si>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</si>
  <si>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</si>
  <si>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</si>
  <si>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</si>
  <si>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</si>
  <si>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</si>
  <si>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</si>
  <si>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</si>
  <si>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</si>
  <si>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</si>
  <si>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</si>
  <si>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</si>
  <si>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</si>
  <si>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</si>
  <si>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</si>
  <si>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</si>
  <si>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</si>
  <si>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</si>
  <si>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</si>
  <si>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</si>
  <si>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</si>
  <si>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</si>
  <si>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</si>
  <si>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</si>
  <si>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</si>
  <si>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</si>
  <si>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</si>
  <si>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</si>
  <si>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</si>
  <si>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</si>
  <si>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</si>
  <si>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</si>
  <si>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</si>
  <si>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</si>
  <si>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</si>
  <si>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</si>
  <si>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</si>
  <si>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</si>
  <si>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</si>
  <si>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</si>
  <si>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</si>
  <si>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</si>
  <si>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</si>
  <si>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</si>
  <si>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</si>
  <si>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</si>
  <si>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</si>
  <si>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</si>
  <si>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</si>
  <si>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</si>
  <si>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</si>
  <si>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</si>
  <si>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</si>
  <si>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</si>
  <si>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</si>
  <si>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</si>
  <si>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</si>
  <si>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</si>
  <si>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</si>
  <si>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</si>
  <si>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</si>
  <si>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</si>
  <si>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</si>
  <si>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</si>
  <si>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</si>
  <si>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</si>
  <si>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</si>
  <si>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</si>
  <si>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</si>
  <si>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</si>
  <si>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</si>
  <si>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</si>
  <si>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</si>
  <si>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</si>
  <si>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</si>
  <si>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</si>
  <si>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</si>
  <si>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</si>
  <si>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</si>
  <si>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</si>
  <si>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</si>
  <si>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</si>
  <si>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</si>
  <si>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</si>
  <si>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</si>
  <si>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</si>
  <si>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</si>
  <si>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</si>
  <si>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</si>
  <si>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</si>
  <si>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</si>
  <si>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</si>
  <si>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</si>
  <si>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</si>
  <si>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</si>
  <si>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</si>
  <si>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</si>
  <si>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</si>
  <si>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</si>
  <si>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</si>
  <si>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</si>
  <si>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</si>
  <si>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</si>
  <si>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</si>
  <si>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</si>
  <si>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</si>
  <si>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</si>
  <si>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</si>
  <si>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</si>
  <si>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</si>
  <si>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</si>
  <si>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</si>
  <si>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</si>
  <si>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</si>
  <si>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</si>
  <si>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</si>
  <si>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</si>
  <si>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</si>
  <si>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</si>
  <si>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</si>
  <si>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</si>
  <si>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</si>
  <si>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</si>
  <si>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</si>
  <si>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</si>
  <si>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</si>
  <si>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</si>
  <si>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</si>
  <si>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</si>
  <si>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</si>
  <si>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</si>
  <si>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</si>
  <si>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</si>
  <si>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</si>
  <si>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</si>
  <si>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</si>
  <si>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</si>
  <si>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</si>
  <si>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</si>
  <si>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</si>
  <si>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</si>
  <si>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</si>
  <si>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</si>
  <si>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</si>
  <si>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</si>
  <si>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</si>
  <si>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</si>
  <si>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</si>
  <si>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</si>
  <si>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</si>
  <si>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</si>
  <si>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</si>
  <si>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</si>
  <si>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</si>
  <si>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</si>
  <si>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</si>
  <si>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</si>
  <si>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</si>
  <si>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</si>
  <si>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</si>
  <si>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</si>
  <si>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</si>
  <si>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</si>
  <si>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</si>
  <si>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</si>
  <si>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</si>
  <si>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</si>
  <si>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</si>
  <si>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</si>
  <si>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</si>
  <si>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</si>
  <si>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</si>
  <si>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</si>
  <si>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</si>
  <si>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</si>
  <si>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</si>
  <si>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</si>
  <si>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</si>
  <si>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</si>
  <si>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</si>
  <si>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</si>
  <si>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</si>
  <si>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</si>
  <si>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</si>
  <si>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</si>
  <si>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</si>
  <si>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</si>
  <si>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</si>
  <si>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</si>
  <si>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</si>
  <si>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</si>
  <si>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</si>
  <si>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</si>
  <si>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</si>
  <si>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</si>
  <si>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</si>
  <si>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</si>
  <si>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</si>
  <si>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</si>
  <si>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</si>
  <si>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</si>
  <si>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</si>
  <si>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</si>
  <si>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</si>
  <si>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</si>
  <si>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</si>
  <si>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</si>
  <si>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</si>
  <si>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</si>
  <si>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</si>
  <si>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</si>
  <si>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</si>
  <si>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</si>
  <si>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</si>
  <si>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</si>
  <si>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</si>
  <si>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</si>
  <si>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</si>
  <si>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</si>
  <si>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</si>
  <si>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</si>
  <si>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</si>
  <si>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</si>
  <si>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</si>
  <si>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</si>
  <si>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</si>
  <si>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</si>
  <si>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</si>
  <si>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</si>
  <si>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</si>
  <si>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</si>
  <si>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</si>
  <si>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</si>
  <si>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</si>
  <si>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</si>
  <si>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</si>
  <si>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</si>
  <si>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</si>
  <si>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</si>
  <si>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</si>
  <si>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</si>
  <si>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</si>
  <si>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</si>
  <si>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</si>
  <si>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</si>
  <si>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</si>
  <si>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</si>
  <si>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</si>
  <si>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</si>
  <si>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</si>
  <si>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</si>
  <si>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</si>
  <si>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</si>
  <si>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</si>
  <si>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</si>
  <si>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</si>
  <si>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</si>
  <si>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</si>
  <si>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</si>
  <si>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</si>
  <si>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</si>
  <si>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</si>
  <si>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</si>
  <si>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</si>
  <si>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</si>
  <si>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</si>
  <si>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</si>
  <si>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</si>
  <si>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</si>
  <si>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</si>
  <si>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</si>
  <si>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</si>
  <si>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</si>
  <si>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</si>
  <si>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</si>
  <si>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</si>
  <si>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</si>
  <si>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</si>
  <si>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</si>
  <si>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</si>
  <si>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</si>
  <si>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</si>
  <si>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</si>
  <si>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</si>
  <si>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</si>
  <si>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</si>
  <si>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</si>
  <si>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</si>
  <si>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</si>
  <si>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</si>
  <si>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</si>
  <si>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</si>
  <si>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</si>
  <si>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</si>
  <si>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</si>
  <si>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</si>
  <si>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</si>
  <si>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</si>
  <si>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</si>
  <si>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</si>
  <si>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</si>
  <si>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</si>
  <si>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</si>
  <si>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</si>
  <si>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</si>
  <si>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</si>
  <si>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Rank</t>
  </si>
  <si>
    <t>Person Name</t>
  </si>
  <si>
    <t>Country</t>
  </si>
  <si>
    <t>PERSON NAME</t>
  </si>
  <si>
    <t>FINAL WORTH</t>
  </si>
  <si>
    <t>DOB</t>
  </si>
  <si>
    <t>AGE</t>
  </si>
  <si>
    <t>Row Labels</t>
  </si>
  <si>
    <t>Grand Total</t>
  </si>
  <si>
    <t>Sum of FINAL WORTH</t>
  </si>
  <si>
    <t>Sum of finalWorth</t>
  </si>
  <si>
    <t>Count of personName</t>
  </si>
  <si>
    <t>AGE GROUP\</t>
  </si>
  <si>
    <t>AGED</t>
  </si>
  <si>
    <t>MIDDLE AGE</t>
  </si>
  <si>
    <t>OLD 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</si>
</sst>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quot;"/>
    <numFmt numFmtId="165" formatCode="[$$-1009]#,##0.00"/>
    <numFmt numFmtId="166" formatCode="_-[$$-1009]* #,##0.00_-;\-[$$-1009]* #,##0.00_-;_-[$$-1009]* &quot;-&quot;??_-;_-@_-"/>
    <numFmt numFmtId="167" formatCode="_-[$$-409]* #,##0.00_ ;_-[$$-409]* \-#,##0.00\ ;_-[$$-409]* &quot;-&quot;??_ ;_-@_ "/>
    <numFmt numFmtId="168" formatCode="[$-F800]dddd\,\ mmmm\ dd\,\ yyyy"/>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6" fillId="0" borderId="0" xfId="0" applyFont="1"/>
    <xf numFmtId="0" fontId="16" fillId="0" borderId="10" xfId="0" applyFont="1" applyBorder="1"/>
    <xf numFmtId="0" fontId="0" fillId="0" borderId="10" xfId="0" applyBorder="1"/>
    <xf numFmtId="164" fontId="0" fillId="0" borderId="10" xfId="0" applyNumberFormat="1" applyBorder="1"/>
    <xf numFmtId="165" fontId="16" fillId="0" borderId="10" xfId="0" applyNumberFormat="1" applyFont="1" applyBorder="1"/>
    <xf numFmtId="165" fontId="0" fillId="0" borderId="10" xfId="0" applyNumberFormat="1" applyBorder="1"/>
    <xf numFmtId="165" fontId="0" fillId="0" borderId="0" xfId="0" applyNumberFormat="1"/>
    <xf numFmtId="166" fontId="16" fillId="0" borderId="10" xfId="0" applyNumberFormat="1" applyFont="1" applyBorder="1"/>
    <xf numFmtId="166" fontId="0" fillId="0" borderId="10" xfId="0" applyNumberFormat="1" applyBorder="1"/>
    <xf numFmtId="166" fontId="0" fillId="0" borderId="0" xfId="0" applyNumberFormat="1"/>
    <xf numFmtId="167" fontId="16" fillId="0" borderId="10" xfId="0" applyNumberFormat="1" applyFont="1" applyBorder="1"/>
    <xf numFmtId="167" fontId="0" fillId="0" borderId="10" xfId="0" applyNumberFormat="1" applyBorder="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C7CE"/>
        </patternFill>
      </fill>
    </dxf>
    <dxf>
      <font>
        <color rgb="FF9C0006"/>
      </font>
    </dxf>
    <dxf>
      <fill>
        <patternFill>
          <bgColor rgb="FFFFC7CE"/>
        </patternFill>
      </fill>
    </dxf>
    <dxf>
      <font>
        <color rgb="FF9C0006"/>
      </font>
    </dxf>
    <dxf>
      <fill>
        <patternFill>
          <bgColor rgb="FFFFC7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3.xlsx]Sheet3!PivotTable3</c:name>
    <c:fmtId val="7"/>
  </c:pivotSource>
  <c:chart>
    <c:title>
      <c:layout>
        <c:manualLayout>
          <c:xMode val="edge"/>
          <c:yMode val="edge"/>
          <c:x val="0.44256233595800526"/>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B6-4144-96D0-202342576E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B6-4144-96D0-202342576E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B6-4144-96D0-202342576E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B6-4144-96D0-202342576E9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8B6-4144-96D0-202342576E9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8B6-4144-96D0-202342576E9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8B6-4144-96D0-202342576E9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8B6-4144-96D0-202342576E9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8B6-4144-96D0-202342576E9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8B6-4144-96D0-202342576E96}"/>
              </c:ext>
            </c:extLst>
          </c:dPt>
          <c:cat>
            <c:strRef>
              <c:f>Sheet3!$A$4:$A$5</c:f>
              <c:strCache>
                <c:ptCount val="1"/>
                <c:pt idx="0">
                  <c:v>Food &amp; Beverage</c:v>
                </c:pt>
              </c:strCache>
            </c:strRef>
          </c:cat>
          <c:val>
            <c:numRef>
              <c:f>Sheet3!$B$4:$B$5</c:f>
              <c:numCache>
                <c:formatCode>General</c:formatCode>
                <c:ptCount val="1"/>
                <c:pt idx="0">
                  <c:v>38900</c:v>
                </c:pt>
              </c:numCache>
            </c:numRef>
          </c:val>
          <c:extLst>
            <c:ext xmlns:c16="http://schemas.microsoft.com/office/drawing/2014/chart" uri="{C3380CC4-5D6E-409C-BE32-E72D297353CC}">
              <c16:uniqueId val="{00000014-98B6-4144-96D0-202342576E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3.xlsx]Sheet3!PivotTable1</c:name>
    <c:fmtId val="2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Sheet3!$O$7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Sheet3!$N$8:$N$9</c:f>
              <c:strCache>
                <c:ptCount val="1"/>
                <c:pt idx="0">
                  <c:v>Nutella, chocolates</c:v>
                </c:pt>
              </c:strCache>
            </c:strRef>
          </c:cat>
          <c:val>
            <c:numRef>
              <c:f>Sheet3!$O$8:$O$9</c:f>
              <c:numCache>
                <c:formatCode>General</c:formatCode>
                <c:ptCount val="1"/>
                <c:pt idx="0">
                  <c:v>38900</c:v>
                </c:pt>
              </c:numCache>
            </c:numRef>
          </c:val>
          <c:extLst>
            <c:ext xmlns:c16="http://schemas.microsoft.com/office/drawing/2014/chart" uri="{C3380CC4-5D6E-409C-BE32-E72D297353CC}">
              <c16:uniqueId val="{00000000-B613-4DFF-94F6-D8269C3674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TEN BILLIONAIRES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Sheet2!$B$4:$B$14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F387-47CA-9477-0C1530C9ADB0}"/>
            </c:ext>
          </c:extLst>
        </c:ser>
        <c:dLbls>
          <c:showLegendKey val="0"/>
          <c:showVal val="0"/>
          <c:showCatName val="0"/>
          <c:showSerName val="0"/>
          <c:showPercent val="0"/>
          <c:showBubbleSize val="0"/>
        </c:dLbls>
        <c:gapWidth val="100"/>
        <c:overlap val="-24"/>
        <c:axId val="-885823200"/>
        <c:axId val="-885819392"/>
      </c:barChart>
      <c:catAx>
        <c:axId val="-885823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819392"/>
        <c:crosses val="autoZero"/>
        <c:auto val="1"/>
        <c:lblAlgn val="ctr"/>
        <c:lblOffset val="100"/>
        <c:noMultiLvlLbl val="0"/>
      </c:catAx>
      <c:valAx>
        <c:axId val="-88581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823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3.xlsx]Sheet3!PivotTable3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TEN INDUSTRIES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514388044605343"/>
          <c:y val="0.20748942784048569"/>
          <c:w val="0.49343025060549706"/>
          <c:h val="0.74544400789327092"/>
        </c:manualLayout>
      </c:layout>
      <c:pie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31-4E4A-A7BE-6C7E0BC339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31-4E4A-A7BE-6C7E0BC339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31-4E4A-A7BE-6C7E0BC339C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B31-4E4A-A7BE-6C7E0BC339C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B31-4E4A-A7BE-6C7E0BC339C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B31-4E4A-A7BE-6C7E0BC339C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B31-4E4A-A7BE-6C7E0BC339C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B31-4E4A-A7BE-6C7E0BC339C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B31-4E4A-A7BE-6C7E0BC339C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B31-4E4A-A7BE-6C7E0BC339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Sheet3!$A$4:$A$5</c:f>
              <c:strCache>
                <c:ptCount val="1"/>
                <c:pt idx="0">
                  <c:v>Food &amp; Beverage</c:v>
                </c:pt>
              </c:strCache>
            </c:strRef>
          </c:cat>
          <c:val>
            <c:numRef>
              <c:f>Sheet3!$B$4:$B$5</c:f>
              <c:numCache>
                <c:formatCode>General</c:formatCode>
                <c:ptCount val="1"/>
                <c:pt idx="0">
                  <c:v>38900</c:v>
                </c:pt>
              </c:numCache>
            </c:numRef>
          </c:val>
          <c:extLst>
            <c:ext xmlns:c16="http://schemas.microsoft.com/office/drawing/2014/chart" uri="{C3380CC4-5D6E-409C-BE32-E72D297353CC}">
              <c16:uniqueId val="{00000014-5B31-4E4A-A7BE-6C7E0BC339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3.xlsx]Sheet2!PivotTable3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6F-4BF5-92E4-9826EB68D2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6F-4BF5-92E4-9826EB68D2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46F-4BF5-92E4-9826EB68D2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Sheet2!$A$18:$A$21</c:f>
              <c:strCache>
                <c:ptCount val="3"/>
                <c:pt idx="0">
                  <c:v>AGED</c:v>
                </c:pt>
                <c:pt idx="1">
                  <c:v>MIDDLE AGE</c:v>
                </c:pt>
                <c:pt idx="2">
                  <c:v>OLD MAN</c:v>
                </c:pt>
              </c:strCache>
            </c:strRef>
          </c:cat>
          <c:val>
            <c:numRef>
              <c:f>Sheet2!$B$18:$B$21</c:f>
              <c:numCache>
                <c:formatCode>General</c:formatCode>
                <c:ptCount val="3"/>
                <c:pt idx="0">
                  <c:v>249</c:v>
                </c:pt>
                <c:pt idx="1">
                  <c:v>100</c:v>
                </c:pt>
                <c:pt idx="2">
                  <c:v>132</c:v>
                </c:pt>
              </c:numCache>
            </c:numRef>
          </c:val>
          <c:extLst>
            <c:ext xmlns:c16="http://schemas.microsoft.com/office/drawing/2014/chart" uri="{C3380CC4-5D6E-409C-BE32-E72D297353CC}">
              <c16:uniqueId val="{00000006-D46F-4BF5-92E4-9826EB68D2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3.xlsx]Sheet3!PivotTable1</c:name>
    <c:fmtId val="3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Sheet3!$O$7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B6-4FF8-8681-517EF7EC18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B6-4FF8-8681-517EF7EC183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B6-4FF8-8681-517EF7EC183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2B6-4FF8-8681-517EF7EC183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2B6-4FF8-8681-517EF7EC183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2B6-4FF8-8681-517EF7EC183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2B6-4FF8-8681-517EF7EC183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2B6-4FF8-8681-517EF7EC183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2B6-4FF8-8681-517EF7EC183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2B6-4FF8-8681-517EF7EC1838}"/>
              </c:ext>
            </c:extLst>
          </c:dPt>
          <c:cat>
            <c:strRef>
              <c:f>Sheet3!$N$8:$N$9</c:f>
              <c:strCache>
                <c:ptCount val="1"/>
                <c:pt idx="0">
                  <c:v>Nutella, chocolates</c:v>
                </c:pt>
              </c:strCache>
            </c:strRef>
          </c:cat>
          <c:val>
            <c:numRef>
              <c:f>Sheet3!$O$8:$O$9</c:f>
              <c:numCache>
                <c:formatCode>General</c:formatCode>
                <c:ptCount val="1"/>
                <c:pt idx="0">
                  <c:v>38900</c:v>
                </c:pt>
              </c:numCache>
            </c:numRef>
          </c:val>
          <c:extLst>
            <c:ext xmlns:c16="http://schemas.microsoft.com/office/drawing/2014/chart" uri="{C3380CC4-5D6E-409C-BE32-E72D297353CC}">
              <c16:uniqueId val="{00000014-D2B6-4FF8-8681-517EF7EC18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Sheet2!$B$4:$B$14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CDF0-4074-B3F2-F4B11450784B}"/>
            </c:ext>
          </c:extLst>
        </c:ser>
        <c:dLbls>
          <c:showLegendKey val="0"/>
          <c:showVal val="0"/>
          <c:showCatName val="0"/>
          <c:showSerName val="0"/>
          <c:showPercent val="0"/>
          <c:showBubbleSize val="0"/>
        </c:dLbls>
        <c:gapWidth val="100"/>
        <c:overlap val="-24"/>
        <c:axId val="-889351888"/>
        <c:axId val="-889350256"/>
      </c:barChart>
      <c:catAx>
        <c:axId val="-889351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350256"/>
        <c:crosses val="autoZero"/>
        <c:auto val="1"/>
        <c:lblAlgn val="ctr"/>
        <c:lblOffset val="100"/>
        <c:noMultiLvlLbl val="0"/>
      </c:catAx>
      <c:valAx>
        <c:axId val="-889350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3518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3.xlsx]Sheet2!PivotTable3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5B-4348-A7F6-0C8C37D5F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5B-4348-A7F6-0C8C37D5F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5B-4348-A7F6-0C8C37D5F60F}"/>
              </c:ext>
            </c:extLst>
          </c:dPt>
          <c:cat>
            <c:strRef>
              <c:f>Sheet2!$A$18:$A$21</c:f>
              <c:strCache>
                <c:ptCount val="3"/>
                <c:pt idx="0">
                  <c:v>AGED</c:v>
                </c:pt>
                <c:pt idx="1">
                  <c:v>MIDDLE AGE</c:v>
                </c:pt>
                <c:pt idx="2">
                  <c:v>OLD MAN</c:v>
                </c:pt>
              </c:strCache>
            </c:strRef>
          </c:cat>
          <c:val>
            <c:numRef>
              <c:f>Sheet2!$B$18:$B$21</c:f>
              <c:numCache>
                <c:formatCode>General</c:formatCode>
                <c:ptCount val="3"/>
                <c:pt idx="0">
                  <c:v>249</c:v>
                </c:pt>
                <c:pt idx="1">
                  <c:v>100</c:v>
                </c:pt>
                <c:pt idx="2">
                  <c:v>132</c:v>
                </c:pt>
              </c:numCache>
            </c:numRef>
          </c:val>
          <c:extLst>
            <c:ext xmlns:c16="http://schemas.microsoft.com/office/drawing/2014/chart" uri="{C3380CC4-5D6E-409C-BE32-E72D297353CC}">
              <c16:uniqueId val="{00000005-A0C3-4E7C-83AF-B655036C6A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28575</xdr:colOff>
      <xdr:row>2</xdr:row>
      <xdr:rowOff>33337</xdr:rowOff>
    </xdr:from>
    <xdr:to>
      <xdr:col>8</xdr:col>
      <xdr:colOff>485775</xdr:colOff>
      <xdr:row>15</xdr:row>
      <xdr:rowOff>176212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495300</xdr:colOff>
      <xdr:row>11</xdr:row>
      <xdr:rowOff>47625</xdr:rowOff>
    </xdr:from>
    <xdr:to>
      <xdr:col>8</xdr:col>
      <xdr:colOff>266700</xdr:colOff>
      <xdr:row>24</xdr:row>
      <xdr:rowOff>114300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334000" y="2247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xdr:colOff>
      <xdr:row>2</xdr:row>
      <xdr:rowOff>0</xdr:rowOff>
    </xdr:from>
    <xdr:to>
      <xdr:col>11</xdr:col>
      <xdr:colOff>466725</xdr:colOff>
      <xdr:row>15</xdr:row>
      <xdr:rowOff>66675</xdr:rowOff>
    </xdr:to>
    <mc:AlternateContent xmlns:mc="http://schemas.openxmlformats.org/markup-compatibility/2006" xmlns:a14="http://schemas.microsoft.com/office/drawing/2010/main">
      <mc:Choice Requires="a14">
        <xdr:graphicFrame macro="">
          <xdr:nvGraphicFramePr>
            <xdr:cNvPr id="4" name="industries">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mlns="">
        <xdr:sp macro="" textlink="">
          <xdr:nvSpPr>
            <xdr:cNvPr id="0" name=""/>
            <xdr:cNvSpPr>
              <a:spLocks noTextEdit="1"/>
            </xdr:cNvSpPr>
          </xdr:nvSpPr>
          <xdr:spPr>
            <a:xfrm>
              <a:off x="7591425" y="400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483870</xdr:colOff>
      <xdr:row>13</xdr:row>
      <xdr:rowOff>11430</xdr:rowOff>
    </xdr:from>
    <xdr:to>
      <xdr:col>14</xdr:col>
      <xdr:colOff>765810</xdr:colOff>
      <xdr:row>26</xdr:row>
      <xdr:rowOff>179070</xdr:rowOff>
    </xdr:to>
    <xdr:graphicFrame macro="">
      <xdr:nvGraphicFramePr>
        <xdr:cNvPr id="8" name="Chart 7">
          <a:extLst>
            <a:ext uri="{FF2B5EF4-FFF2-40B4-BE49-F238E27FC236}">
              <a16:creationId xmlns:a16="http://schemas.microsoft.com/office/drawing/2014/main" id="{E14EBBAD-5D2A-CFDB-02A8-7AE25AB53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583045</xdr:colOff>
      <xdr:row>40</xdr:row>
      <xdr:rowOff>121228</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0" y="0"/>
          <a:ext cx="14045045" cy="8249228"/>
        </a:xfrm>
        <a:prstGeom prst="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BILLIONAIRES</a:t>
          </a:r>
          <a:r>
            <a:rPr lang="en-IN" sz="4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DATA</a:t>
          </a:r>
          <a:endParaRPr lang="en-IN" sz="4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xdr:col>
      <xdr:colOff>506845</xdr:colOff>
      <xdr:row>6</xdr:row>
      <xdr:rowOff>139699</xdr:rowOff>
    </xdr:from>
    <xdr:to>
      <xdr:col>11</xdr:col>
      <xdr:colOff>482600</xdr:colOff>
      <xdr:row>23</xdr:row>
      <xdr:rowOff>42984</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415192</xdr:colOff>
      <xdr:row>23</xdr:row>
      <xdr:rowOff>25399</xdr:rowOff>
    </xdr:from>
    <xdr:to>
      <xdr:col>20</xdr:col>
      <xdr:colOff>622300</xdr:colOff>
      <xdr:row>40</xdr:row>
      <xdr:rowOff>75222</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13</xdr:row>
      <xdr:rowOff>124070</xdr:rowOff>
    </xdr:from>
    <xdr:to>
      <xdr:col>2</xdr:col>
      <xdr:colOff>481445</xdr:colOff>
      <xdr:row>26</xdr:row>
      <xdr:rowOff>161015</xdr:rowOff>
    </xdr:to>
    <mc:AlternateContent xmlns:mc="http://schemas.openxmlformats.org/markup-compatibility/2006">
      <mc:Choice xmlns:a14="http://schemas.microsoft.com/office/drawing/2010/main" Requires="a14">
        <xdr:graphicFrame macro="">
          <xdr:nvGraphicFramePr>
            <xdr:cNvPr id="6" name="industries 2">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industries 2"/>
            </a:graphicData>
          </a:graphic>
        </xdr:graphicFrame>
      </mc:Choice>
      <mc:Fallback>
        <xdr:sp macro="" textlink="">
          <xdr:nvSpPr>
            <xdr:cNvPr id="0" name=""/>
            <xdr:cNvSpPr>
              <a:spLocks noTextEdit="1"/>
            </xdr:cNvSpPr>
          </xdr:nvSpPr>
          <xdr:spPr>
            <a:xfrm>
              <a:off x="38100" y="2765670"/>
              <a:ext cx="1789545" cy="2678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58616</xdr:colOff>
      <xdr:row>26</xdr:row>
      <xdr:rowOff>124601</xdr:rowOff>
    </xdr:from>
    <xdr:to>
      <xdr:col>2</xdr:col>
      <xdr:colOff>501961</xdr:colOff>
      <xdr:row>40</xdr:row>
      <xdr:rowOff>85968</xdr:rowOff>
    </xdr:to>
    <mc:AlternateContent xmlns:mc="http://schemas.openxmlformats.org/markup-compatibility/2006">
      <mc:Choice xmlns:a14="http://schemas.microsoft.com/office/drawing/2010/main" Requires="a14">
        <xdr:graphicFrame macro="">
          <xdr:nvGraphicFramePr>
            <xdr:cNvPr id="9" name="FINAL WORTH 1">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FINAL WORTH 1"/>
            </a:graphicData>
          </a:graphic>
        </xdr:graphicFrame>
      </mc:Choice>
      <mc:Fallback>
        <xdr:sp macro="" textlink="">
          <xdr:nvSpPr>
            <xdr:cNvPr id="0" name=""/>
            <xdr:cNvSpPr>
              <a:spLocks noTextEdit="1"/>
            </xdr:cNvSpPr>
          </xdr:nvSpPr>
          <xdr:spPr>
            <a:xfrm>
              <a:off x="58616" y="5407801"/>
              <a:ext cx="1789545" cy="2806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51955</xdr:colOff>
      <xdr:row>1</xdr:row>
      <xdr:rowOff>177800</xdr:rowOff>
    </xdr:from>
    <xdr:to>
      <xdr:col>2</xdr:col>
      <xdr:colOff>498604</xdr:colOff>
      <xdr:row>13</xdr:row>
      <xdr:rowOff>127000</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C22D2E0E-F7C7-41DD-BAB6-D60471E3C67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1955" y="381000"/>
              <a:ext cx="1792849" cy="238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xdr:row>
      <xdr:rowOff>12700</xdr:rowOff>
    </xdr:from>
    <xdr:to>
      <xdr:col>7</xdr:col>
      <xdr:colOff>127000</xdr:colOff>
      <xdr:row>6</xdr:row>
      <xdr:rowOff>76200</xdr:rowOff>
    </xdr:to>
    <xdr:sp macro="" textlink="">
      <xdr:nvSpPr>
        <xdr:cNvPr id="11" name="Rectangle 10">
          <a:extLst>
            <a:ext uri="{FF2B5EF4-FFF2-40B4-BE49-F238E27FC236}">
              <a16:creationId xmlns:a16="http://schemas.microsoft.com/office/drawing/2014/main" id="{F91F6F51-3A1E-9AA6-A767-5FD9B08D19FF}"/>
            </a:ext>
          </a:extLst>
        </xdr:cNvPr>
        <xdr:cNvSpPr/>
      </xdr:nvSpPr>
      <xdr:spPr>
        <a:xfrm>
          <a:off x="1879600" y="215900"/>
          <a:ext cx="2959100" cy="1079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TOTAL NETWORTH</a:t>
          </a:r>
        </a:p>
      </xdr:txBody>
    </xdr:sp>
    <xdr:clientData/>
  </xdr:twoCellAnchor>
  <xdr:twoCellAnchor editAs="oneCell">
    <xdr:from>
      <xdr:col>3</xdr:col>
      <xdr:colOff>241299</xdr:colOff>
      <xdr:row>3</xdr:row>
      <xdr:rowOff>12700</xdr:rowOff>
    </xdr:from>
    <xdr:to>
      <xdr:col>6</xdr:col>
      <xdr:colOff>469900</xdr:colOff>
      <xdr:row>6</xdr:row>
      <xdr:rowOff>12700</xdr:rowOff>
    </xdr:to>
    <xdr:pic>
      <xdr:nvPicPr>
        <xdr:cNvPr id="13" name="Picture 12">
          <a:extLst>
            <a:ext uri="{FF2B5EF4-FFF2-40B4-BE49-F238E27FC236}">
              <a16:creationId xmlns:a16="http://schemas.microsoft.com/office/drawing/2014/main" id="{45BD4C75-2384-D1BD-64AE-5021F2E5F5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60599" y="622300"/>
          <a:ext cx="2247901"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304800</xdr:colOff>
      <xdr:row>0</xdr:row>
      <xdr:rowOff>177800</xdr:rowOff>
    </xdr:from>
    <xdr:to>
      <xdr:col>20</xdr:col>
      <xdr:colOff>406400</xdr:colOff>
      <xdr:row>6</xdr:row>
      <xdr:rowOff>76200</xdr:rowOff>
    </xdr:to>
    <xdr:sp macro="" textlink="">
      <xdr:nvSpPr>
        <xdr:cNvPr id="14" name="Rectangle 13">
          <a:extLst>
            <a:ext uri="{FF2B5EF4-FFF2-40B4-BE49-F238E27FC236}">
              <a16:creationId xmlns:a16="http://schemas.microsoft.com/office/drawing/2014/main" id="{C1FD9E85-1C77-F634-538F-6CE28EB01667}"/>
            </a:ext>
          </a:extLst>
        </xdr:cNvPr>
        <xdr:cNvSpPr/>
      </xdr:nvSpPr>
      <xdr:spPr>
        <a:xfrm>
          <a:off x="9728200" y="177800"/>
          <a:ext cx="4140200" cy="1117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TOP 1 INDUSRY           </a:t>
          </a:r>
          <a:r>
            <a:rPr lang="en-IN" sz="3600"/>
            <a:t>TECHNOLOGY</a:t>
          </a:r>
        </a:p>
      </xdr:txBody>
    </xdr:sp>
    <xdr:clientData/>
  </xdr:twoCellAnchor>
  <xdr:twoCellAnchor>
    <xdr:from>
      <xdr:col>2</xdr:col>
      <xdr:colOff>596900</xdr:colOff>
      <xdr:row>23</xdr:row>
      <xdr:rowOff>63500</xdr:rowOff>
    </xdr:from>
    <xdr:to>
      <xdr:col>11</xdr:col>
      <xdr:colOff>380999</xdr:colOff>
      <xdr:row>40</xdr:row>
      <xdr:rowOff>88900</xdr:rowOff>
    </xdr:to>
    <xdr:graphicFrame macro="">
      <xdr:nvGraphicFramePr>
        <xdr:cNvPr id="22" name="Chart 21">
          <a:extLst>
            <a:ext uri="{FF2B5EF4-FFF2-40B4-BE49-F238E27FC236}">
              <a16:creationId xmlns:a16="http://schemas.microsoft.com/office/drawing/2014/main" id="{113A713E-1EC8-409D-BE2F-437CAE976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431800</xdr:colOff>
      <xdr:row>6</xdr:row>
      <xdr:rowOff>165100</xdr:rowOff>
    </xdr:from>
    <xdr:to>
      <xdr:col>20</xdr:col>
      <xdr:colOff>609600</xdr:colOff>
      <xdr:row>23</xdr:row>
      <xdr:rowOff>25400</xdr:rowOff>
    </xdr:to>
    <xdr:graphicFrame macro="">
      <xdr:nvGraphicFramePr>
        <xdr:cNvPr id="5" name="Chart 4">
          <a:extLst>
            <a:ext uri="{FF2B5EF4-FFF2-40B4-BE49-F238E27FC236}">
              <a16:creationId xmlns:a16="http://schemas.microsoft.com/office/drawing/2014/main" id="{9B315545-2325-4151-B03B-68AC00E61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xdr:row>
      <xdr:rowOff>195263</xdr:rowOff>
    </xdr:from>
    <xdr:to>
      <xdr:col>8</xdr:col>
      <xdr:colOff>104775</xdr:colOff>
      <xdr:row>13</xdr:row>
      <xdr:rowOff>152401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371475</xdr:colOff>
      <xdr:row>1</xdr:row>
      <xdr:rowOff>190500</xdr:rowOff>
    </xdr:from>
    <xdr:to>
      <xdr:col>14</xdr:col>
      <xdr:colOff>142875</xdr:colOff>
      <xdr:row>15</xdr:row>
      <xdr:rowOff>57150</xdr:rowOff>
    </xdr:to>
    <mc:AlternateContent xmlns:mc="http://schemas.openxmlformats.org/markup-compatibility/2006" xmlns:a14="http://schemas.microsoft.com/office/drawing/2010/main">
      <mc:Choice Requires="a14">
        <xdr:graphicFrame macro="">
          <xdr:nvGraphicFramePr>
            <xdr:cNvPr id="3" name="PERSON NAME">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PERSON NAME"/>
            </a:graphicData>
          </a:graphic>
        </xdr:graphicFrame>
      </mc:Choice>
      <mc:Fallback xmlns="">
        <xdr:sp macro="" textlink="">
          <xdr:nvSpPr>
            <xdr:cNvPr id="0" name=""/>
            <xdr:cNvSpPr>
              <a:spLocks noTextEdit="1"/>
            </xdr:cNvSpPr>
          </xdr:nvSpPr>
          <xdr:spPr>
            <a:xfrm>
              <a:off x="9705975" y="390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400050</xdr:colOff>
      <xdr:row>1</xdr:row>
      <xdr:rowOff>190500</xdr:rowOff>
    </xdr:from>
    <xdr:to>
      <xdr:col>11</xdr:col>
      <xdr:colOff>171450</xdr:colOff>
      <xdr:row>15</xdr:row>
      <xdr:rowOff>57150</xdr:rowOff>
    </xdr:to>
    <mc:AlternateContent xmlns:mc="http://schemas.openxmlformats.org/markup-compatibility/2006" xmlns:a14="http://schemas.microsoft.com/office/drawing/2010/main">
      <mc:Choice Requires="a14">
        <xdr:graphicFrame macro="">
          <xdr:nvGraphicFramePr>
            <xdr:cNvPr id="4" name="FINAL WORTH">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FINAL WORTH"/>
            </a:graphicData>
          </a:graphic>
        </xdr:graphicFrame>
      </mc:Choice>
      <mc:Fallback xmlns="">
        <xdr:sp macro="" textlink="">
          <xdr:nvSpPr>
            <xdr:cNvPr id="0" name=""/>
            <xdr:cNvSpPr>
              <a:spLocks noTextEdit="1"/>
            </xdr:cNvSpPr>
          </xdr:nvSpPr>
          <xdr:spPr>
            <a:xfrm>
              <a:off x="7677150" y="390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430530</xdr:colOff>
      <xdr:row>14</xdr:row>
      <xdr:rowOff>121920</xdr:rowOff>
    </xdr:from>
    <xdr:to>
      <xdr:col>8</xdr:col>
      <xdr:colOff>472440</xdr:colOff>
      <xdr:row>26</xdr:row>
      <xdr:rowOff>121920</xdr:rowOff>
    </xdr:to>
    <xdr:graphicFrame macro="">
      <xdr:nvGraphicFramePr>
        <xdr:cNvPr id="5" name="Chart 4">
          <a:extLst>
            <a:ext uri="{FF2B5EF4-FFF2-40B4-BE49-F238E27FC236}">
              <a16:creationId xmlns:a16="http://schemas.microsoft.com/office/drawing/2014/main" id="{2C7B4037-0457-9DB4-590B-3F580C788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9.560443634262" createdVersion="5" refreshedVersion="5" minRefreshableVersion="3" recordCount="10" xr:uid="{00000000-000A-0000-FFFF-FFFF05000000}">
  <cacheSource type="worksheet">
    <worksheetSource ref="I1:J11" sheet="Sheet1"/>
  </cacheSource>
  <cacheFields count="2">
    <cacheField name="PERSON NAME" numFmtId="0">
      <sharedItems count="10">
        <s v="Bernard Arnault &amp; family"/>
        <s v="Elon Musk"/>
        <s v="Jeff Bezos"/>
        <s v="Larry Ellison"/>
        <s v="Warren Buffett"/>
        <s v="Bill Gates"/>
        <s v="Michael Bloomberg"/>
        <s v="Carlos Slim Helu &amp; family"/>
        <s v="Mukesh Ambani"/>
        <s v="Steve Ballmer"/>
      </sharedItems>
    </cacheField>
    <cacheField name="FINAL WORTH" numFmtId="165">
      <sharedItems containsSemiMixedTypes="0" containsString="0" containsNumber="1" containsInteger="1" minValue="80700" maxValue="211000" count="10">
        <n v="211000"/>
        <n v="180000"/>
        <n v="114000"/>
        <n v="107000"/>
        <n v="106000"/>
        <n v="104000"/>
        <n v="94500"/>
        <n v="93000"/>
        <n v="83400"/>
        <n v="807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9.564432754632" createdVersion="5" refreshedVersion="5" minRefreshableVersion="3" recordCount="482" xr:uid="{00000000-000A-0000-FFFF-FFFF0D000000}">
  <cacheSource type="worksheet">
    <worksheetSource ref="A1:Q1048576" sheet="Billionaries_Data"/>
  </cacheSource>
  <cacheFields count="17">
    <cacheField name="rank" numFmtId="0">
      <sharedItems containsString="0" containsBlank="1" containsNumber="1" containsInteger="1" minValue="1" maxValue="497"/>
    </cacheField>
    <cacheField name="personName" numFmtId="0">
      <sharedItems containsBlank="1" count="476">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m/>
      </sharedItems>
    </cacheField>
    <cacheField name="country" numFmtId="0">
      <sharedItems containsBlank="1" count="40">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m/>
      </sharedItems>
    </cacheField>
    <cacheField name="city" numFmtId="0">
      <sharedItems containsBlank="1"/>
    </cacheField>
    <cacheField name="source" numFmtId="0">
      <sharedItems containsBlank="1" count="237">
        <s v="LVMH"/>
        <s v="Tesla, SpaceX"/>
        <s v="Amazon"/>
        <s v="Oracle"/>
        <s v="Berkshire Hathaway"/>
        <s v="Microsoft"/>
        <s v="Bloomberg LP"/>
        <s v="Telecom"/>
        <s v="Diversified"/>
        <s v="L'Oréal"/>
        <s v="Google"/>
        <s v="Zara"/>
        <s v="Beverages, pharmaceuticals"/>
        <s v="Facebook"/>
        <s v="Koch Industries"/>
        <s v="Walmart"/>
        <s v="Media"/>
        <s v="Dell Technologies"/>
        <s v="Infrastructure, commodities"/>
        <s v="Nike"/>
        <s v="TikTok"/>
        <s v="Retail"/>
        <s v="Luxury goods"/>
        <s v="Shipping"/>
        <s v="Nutella, chocolates"/>
        <s v="Candy, pet food"/>
        <s v="Internet media"/>
        <s v="Casinos"/>
        <s v="Hedge funds"/>
        <s v="Red Bull"/>
        <s v="Batteries"/>
        <s v="Fashion retail"/>
        <s v="Music, chemicals"/>
        <s v="Chanel"/>
        <s v="E-commerce"/>
        <s v="Fasteners"/>
        <s v="Trading, investments"/>
        <s v="Investments"/>
        <s v="BMW, pharmaceuticals"/>
        <s v="Mining"/>
        <s v="Online games"/>
        <s v="software services"/>
        <s v="Coal"/>
        <s v="Discount brokerage"/>
        <s v="Fertilizers, coal"/>
        <s v="BMW"/>
        <s v="Banking, tobacco"/>
        <s v="Metals"/>
        <s v="Home appliances"/>
        <s v="Chemicals"/>
        <s v="Vaccines"/>
        <s v="Internet, telecom"/>
        <s v="Steel, transport"/>
        <s v="Cheese"/>
        <s v="Fidelity"/>
        <s v="Gas, chemicals"/>
        <s v="Package delivery"/>
        <s v="Semiconductors"/>
        <s v="Estee Lauder"/>
        <s v="Sensors"/>
        <s v="Steel, investments"/>
        <s v="Oil"/>
        <s v="Hospitals"/>
        <s v="Automobiles"/>
        <s v="Mining, copper products"/>
        <s v="Pig breeding"/>
        <s v="Batteries, automobiles"/>
        <s v="Oil &amp; gas"/>
        <s v="Oil, gas"/>
        <s v="Quicken Loans"/>
        <s v="Steel"/>
        <s v="Real estate"/>
        <s v="Home improvement stores"/>
        <s v="Newspapers, TV network"/>
        <s v="Banking"/>
        <s v="Aldi, Trader Joe's"/>
        <s v="Finance, telecommunications"/>
        <s v="medical devices"/>
        <s v="H&amp;M"/>
        <s v="Soy sauce"/>
        <s v="Beer"/>
        <s v="Pharmaceuticals"/>
        <s v="Wireless networking"/>
        <s v="Retail, investments"/>
        <s v="Alcohol, real estate"/>
        <s v="Heineken"/>
        <s v="Paints"/>
        <s v="Commodities"/>
        <s v="Cement, sugar"/>
        <s v="Building supplies"/>
        <s v="WhatsApp"/>
        <s v="Dallas Cowboys"/>
        <s v="Oil &amp; gas, banking"/>
        <s v="Automobiles, batteries"/>
        <s v="Sports, real estate"/>
        <s v="Oil, banking, telecom"/>
        <s v="Energy"/>
        <s v="Auto parts"/>
        <s v="Apple, Disney"/>
        <s v="Messaging app"/>
        <s v="Agribusiness"/>
        <s v="Online retail"/>
        <s v="Fertilizer, real estate"/>
        <s v="Manufacturing"/>
        <s v="Energy, sports, entertainment"/>
        <s v="Gas stations"/>
        <s v="Retail, media"/>
        <s v="Manufacturing, New England Patriots"/>
        <s v="Gold"/>
        <s v="Cryptocurrency exchange"/>
        <s v="Banks, real estate"/>
        <s v="Software"/>
        <s v="Business software"/>
        <s v="Banking, property"/>
        <s v="Hermes"/>
        <s v="Fertilizers"/>
        <s v="Private equity"/>
        <s v="Smartphones"/>
        <s v="Warehouse automation"/>
        <s v="Solar panels"/>
        <s v="Biotech, investments"/>
        <s v="Food delivery"/>
        <s v="Airbnb"/>
        <s v="Vacuums"/>
        <s v="Energy, investments"/>
        <s v="Cable television"/>
        <s v="Hardware stores"/>
        <s v="Alcoholic beverages"/>
        <s v="Hydraulic machinery"/>
        <s v="Packaging"/>
        <s v="Ecommerce"/>
        <s v="Venture capital"/>
        <s v="EBay, PayPal"/>
        <s v="Retail, real estate"/>
        <s v="Soft drinks, fast food"/>
        <s v="Solar wafers and modules"/>
        <s v="Media, automotive"/>
        <s v="Diamonds"/>
        <s v="Aluminum products"/>
        <s v="Sporting goods retail"/>
        <s v="Houston Rockets, entertainment"/>
        <s v="Oil and gas, IT, lotteries"/>
        <s v="Home Depot"/>
        <s v="Insurance"/>
        <s v="Coal mines"/>
        <s v="Sports apparel"/>
        <s v="Samsung"/>
        <s v="Metals and mining"/>
        <s v="Real estate, construction"/>
        <s v="Petrochemicals"/>
        <s v="Financial information"/>
        <s v="Furniture"/>
        <s v="Movies, record labels"/>
        <s v="Internet search"/>
        <s v="Photovoltaic equipment"/>
        <s v="Supermarkets"/>
        <s v="Restaurants"/>
        <s v="Textiles, apparel"/>
        <s v="Manufacturing, investments"/>
        <s v="Construction, investments"/>
        <s v="Agriculture"/>
        <s v="Cement"/>
        <s v="Mining, metals, machinery"/>
        <s v="Ports"/>
        <s v="Electronics components"/>
        <s v="Real estate, investments"/>
        <s v="Auto loans"/>
        <s v="Pipelines"/>
        <s v="Fintech"/>
        <s v="Personal care goods"/>
        <s v="Beverages"/>
        <s v="Healthcare software"/>
        <s v="Gambling"/>
        <s v="Self storage"/>
        <s v="Construction equipment"/>
        <s v="Health care"/>
        <s v="Electronics"/>
        <s v="Mapping software"/>
        <s v="Apparel"/>
        <s v="Food distribution"/>
        <s v="Homebuilding, insurance"/>
        <s v="Cargill"/>
        <s v="Hedge fund"/>
        <s v="Lithium batteries"/>
        <s v="Medical equipment"/>
        <s v="Online gambling"/>
        <s v="Tech investments"/>
        <s v="Intel"/>
        <s v="Metals, investments"/>
        <s v="Money management"/>
        <s v="Lego"/>
        <s v="Solar panel components"/>
        <s v="Natural gas"/>
        <s v="Computer hardware"/>
        <s v="Snacks, beverages"/>
        <s v="Chick-fil-A"/>
        <s v="Investments, real estate"/>
        <s v="Staffing, Baltimore Ravens"/>
        <s v="Biomedical products"/>
        <s v="Construction, mining"/>
        <s v="Solar equipment"/>
        <s v="Natural gas distribution"/>
        <s v="Metalworking tools"/>
        <s v="Beer, investments"/>
        <s v="Temp agency"/>
        <s v="Power strips"/>
        <s v="Power strip"/>
        <s v="Telecom, oil"/>
        <s v="Coffee"/>
        <s v="Steel, mining"/>
        <s v="Convinience stores"/>
        <s v="Security software"/>
        <s v="IT provider"/>
        <s v="Finance"/>
        <s v="Food, beverages"/>
        <s v="Steel, coal"/>
        <s v="Oil, real estate"/>
        <s v="Motorcycles"/>
        <s v="Pharmaceutical ingredients"/>
        <s v="Hotels, investments"/>
        <s v="Gambling software"/>
        <s v="Biotech"/>
        <s v="Carnival Cruises"/>
        <s v="Payments software"/>
        <s v="Payment software"/>
        <s v="Timberland, lumber mills"/>
        <s v="Toyota dealerships"/>
        <s v="Medical packaging"/>
        <s v="Mortgage lender"/>
        <s v="Textiles, petrochemicals"/>
        <s v="Kitchen appliances"/>
        <s v="Consumer goods"/>
        <s v="Carpet"/>
        <s v="Pest control"/>
        <s v="Finance, asset management"/>
        <s v="Poultry genetics"/>
        <m/>
      </sharedItems>
    </cacheField>
    <cacheField name="industries" numFmtId="0">
      <sharedItems containsBlank="1" count="19">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m/>
      </sharedItems>
    </cacheField>
    <cacheField name="selfMade" numFmtId="0">
      <sharedItems containsBlank="1"/>
    </cacheField>
    <cacheField name="gender" numFmtId="0">
      <sharedItems containsBlank="1"/>
    </cacheField>
    <cacheField name="firstName" numFmtId="0">
      <sharedItems containsBlank="1"/>
    </cacheField>
    <cacheField name="lastName" numFmtId="0">
      <sharedItems containsBlank="1"/>
    </cacheField>
    <cacheField name="finalWorth" numFmtId="165">
      <sharedItems containsString="0" containsBlank="1" containsNumber="1" containsInteger="1" minValue="5300" maxValue="211000" count="172">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m/>
      </sharedItems>
    </cacheField>
    <cacheField name="cpi_country" numFmtId="166">
      <sharedItems containsString="0" containsBlank="1" containsNumber="1" minValue="99.55" maxValue="288.57"/>
    </cacheField>
    <cacheField name="gdp_country" numFmtId="0">
      <sharedItems containsBlank="1"/>
    </cacheField>
    <cacheField name="life_expectancy_country" numFmtId="0">
      <sharedItems containsString="0" containsBlank="1" containsNumber="1" minValue="54.3" maxValue="84.2"/>
    </cacheField>
    <cacheField name="tax_revenue_country_country" numFmtId="167">
      <sharedItems containsString="0" containsBlank="1" containsNumber="1" minValue="0.1" maxValue="32.4"/>
    </cacheField>
    <cacheField name="total_tax_rate_country" numFmtId="167">
      <sharedItems containsString="0" containsBlank="1" containsNumber="1" minValue="15.9" maxValue="71.2"/>
    </cacheField>
    <cacheField name="population_country" numFmtId="0">
      <sharedItems containsString="0" containsBlank="1" containsNumber="1" containsInteger="1" minValue="4841000" maxValue="1397715000"/>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1.971902083336" createdVersion="8" refreshedVersion="8" minRefreshableVersion="3" recordCount="481" xr:uid="{C11CC398-31A0-4612-862B-6A15958B3D76}">
  <cacheSource type="worksheet">
    <worksheetSource ref="C2:I483" sheet="DOB"/>
  </cacheSource>
  <cacheFields count="7">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DOB" numFmtId="168">
      <sharedItems containsSemiMixedTypes="0" containsNonDate="0" containsDate="1" containsString="0" minDate="1926-07-16T00:00:00" maxDate="1992-05-08T00:00:00"/>
    </cacheField>
    <cacheField name="AGE" numFmtId="0">
      <sharedItems containsSemiMixedTypes="0" containsString="0" containsNumber="1" containsInteger="1" minValue="33" maxValue="99" count="62">
        <n v="77"/>
        <n v="54"/>
        <n v="62"/>
        <n v="81"/>
        <n v="95"/>
        <n v="70"/>
        <n v="84"/>
        <n v="86"/>
        <n v="69"/>
        <n v="72"/>
        <n v="53"/>
        <n v="90"/>
        <n v="52"/>
        <n v="71"/>
        <n v="41"/>
        <n v="64"/>
        <n v="76"/>
        <n v="68"/>
        <n v="61"/>
        <n v="63"/>
        <n v="88"/>
        <n v="42"/>
        <n v="89"/>
        <n v="80"/>
        <n v="57"/>
        <n v="33"/>
        <n v="75"/>
        <n v="85"/>
        <n v="46"/>
        <n v="67"/>
        <n v="87"/>
        <n v="79"/>
        <n v="78"/>
        <n v="59"/>
        <n v="56"/>
        <n v="65"/>
        <n v="83"/>
        <n v="73"/>
        <n v="55"/>
        <n v="39"/>
        <n v="93"/>
        <n v="60"/>
        <n v="58"/>
        <n v="48"/>
        <n v="98"/>
        <n v="50"/>
        <n v="66"/>
        <n v="91"/>
        <n v="96"/>
        <n v="44"/>
        <n v="74"/>
        <n v="97"/>
        <n v="47"/>
        <n v="82"/>
        <n v="94"/>
        <n v="45"/>
        <n v="92"/>
        <n v="40"/>
        <n v="43"/>
        <n v="99"/>
        <n v="35"/>
        <n v="37"/>
      </sharedItems>
    </cacheField>
    <cacheField name="AGE GROUP\" numFmtId="0">
      <sharedItems count="3">
        <s v="AGED"/>
        <s v="MIDDLE AGE"/>
        <s v="OLD MA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
  <r>
    <x v="0"/>
    <x v="0"/>
  </r>
  <r>
    <x v="1"/>
    <x v="1"/>
  </r>
  <r>
    <x v="2"/>
    <x v="2"/>
  </r>
  <r>
    <x v="3"/>
    <x v="3"/>
  </r>
  <r>
    <x v="4"/>
    <x v="4"/>
  </r>
  <r>
    <x v="5"/>
    <x v="5"/>
  </r>
  <r>
    <x v="6"/>
    <x v="6"/>
  </r>
  <r>
    <x v="7"/>
    <x v="7"/>
  </r>
  <r>
    <x v="8"/>
    <x v="8"/>
  </r>
  <r>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2">
  <r>
    <n v="1"/>
    <x v="0"/>
    <x v="0"/>
    <s v="Paris"/>
    <x v="0"/>
    <x v="0"/>
    <b v="0"/>
    <s v="M"/>
    <s v="Bernard"/>
    <s v="Arnault"/>
    <x v="0"/>
    <n v="110.05"/>
    <s v="$2,715,518,274,227 "/>
    <n v="82.5"/>
    <n v="24.2"/>
    <n v="60.7"/>
    <n v="67059887"/>
  </r>
  <r>
    <n v="2"/>
    <x v="1"/>
    <x v="1"/>
    <s v="Austin"/>
    <x v="1"/>
    <x v="1"/>
    <b v="1"/>
    <s v="M"/>
    <s v="Elon"/>
    <s v="Musk"/>
    <x v="1"/>
    <n v="117.24"/>
    <s v="$21,427,700,000,000 "/>
    <n v="78.5"/>
    <n v="9.6"/>
    <n v="36.6"/>
    <n v="328239523"/>
  </r>
  <r>
    <n v="3"/>
    <x v="2"/>
    <x v="1"/>
    <s v="Medina"/>
    <x v="2"/>
    <x v="2"/>
    <b v="1"/>
    <s v="M"/>
    <s v="Jeff"/>
    <s v="Bezos"/>
    <x v="2"/>
    <n v="117.24"/>
    <s v="$21,427,700,000,000 "/>
    <n v="78.5"/>
    <n v="9.6"/>
    <n v="36.6"/>
    <n v="328239523"/>
  </r>
  <r>
    <n v="4"/>
    <x v="3"/>
    <x v="1"/>
    <s v="Lanai"/>
    <x v="3"/>
    <x v="2"/>
    <b v="1"/>
    <s v="M"/>
    <s v="Larry"/>
    <s v="Ellison"/>
    <x v="3"/>
    <n v="117.24"/>
    <s v="$21,427,700,000,000 "/>
    <n v="78.5"/>
    <n v="9.6"/>
    <n v="36.6"/>
    <n v="328239523"/>
  </r>
  <r>
    <n v="5"/>
    <x v="4"/>
    <x v="1"/>
    <s v="Omaha"/>
    <x v="4"/>
    <x v="3"/>
    <b v="1"/>
    <s v="M"/>
    <s v="Warren"/>
    <s v="Buffett"/>
    <x v="4"/>
    <n v="117.24"/>
    <s v="$21,427,700,000,000 "/>
    <n v="78.5"/>
    <n v="9.6"/>
    <n v="36.6"/>
    <n v="328239523"/>
  </r>
  <r>
    <n v="6"/>
    <x v="5"/>
    <x v="1"/>
    <s v="Medina"/>
    <x v="5"/>
    <x v="2"/>
    <b v="1"/>
    <s v="M"/>
    <s v="Bill"/>
    <s v="Gates"/>
    <x v="5"/>
    <n v="117.24"/>
    <s v="$21,427,700,000,000 "/>
    <n v="78.5"/>
    <n v="9.6"/>
    <n v="36.6"/>
    <n v="328239523"/>
  </r>
  <r>
    <n v="7"/>
    <x v="6"/>
    <x v="1"/>
    <s v="New York"/>
    <x v="6"/>
    <x v="4"/>
    <b v="1"/>
    <s v="M"/>
    <s v="Michael"/>
    <s v="Bloomberg"/>
    <x v="6"/>
    <n v="117.24"/>
    <s v="$21,427,700,000,000 "/>
    <n v="78.5"/>
    <n v="9.6"/>
    <n v="36.6"/>
    <n v="328239523"/>
  </r>
  <r>
    <n v="8"/>
    <x v="7"/>
    <x v="2"/>
    <s v="Mexico City"/>
    <x v="7"/>
    <x v="5"/>
    <b v="1"/>
    <s v="M"/>
    <s v="Carlos"/>
    <s v="Slim Helu"/>
    <x v="7"/>
    <n v="141.54"/>
    <s v="$1,258,286,717,125 "/>
    <n v="75"/>
    <n v="13.1"/>
    <n v="55.1"/>
    <n v="126014024"/>
  </r>
  <r>
    <n v="9"/>
    <x v="8"/>
    <x v="3"/>
    <s v="Mumbai"/>
    <x v="8"/>
    <x v="6"/>
    <b v="0"/>
    <s v="M"/>
    <s v="Mukesh"/>
    <s v="Ambani"/>
    <x v="8"/>
    <n v="180.44"/>
    <s v="$2,611,000,000,000 "/>
    <n v="69.400000000000006"/>
    <n v="11.2"/>
    <n v="49.7"/>
    <n v="1366417754"/>
  </r>
  <r>
    <n v="10"/>
    <x v="9"/>
    <x v="1"/>
    <s v="Hunts Point"/>
    <x v="5"/>
    <x v="2"/>
    <b v="1"/>
    <s v="M"/>
    <s v="Steve"/>
    <s v="Ballmer"/>
    <x v="9"/>
    <n v="117.24"/>
    <s v="$21,427,700,000,000 "/>
    <n v="78.5"/>
    <n v="9.6"/>
    <n v="36.6"/>
    <n v="328239523"/>
  </r>
  <r>
    <n v="11"/>
    <x v="10"/>
    <x v="0"/>
    <s v="Paris"/>
    <x v="9"/>
    <x v="0"/>
    <b v="0"/>
    <s v="F"/>
    <s v="Francoise"/>
    <s v="Bettencourt Meyers"/>
    <x v="10"/>
    <n v="110.05"/>
    <s v="$2,715,518,274,227 "/>
    <n v="82.5"/>
    <n v="24.2"/>
    <n v="60.7"/>
    <n v="67059887"/>
  </r>
  <r>
    <n v="12"/>
    <x v="11"/>
    <x v="1"/>
    <s v="Palo Alto"/>
    <x v="10"/>
    <x v="2"/>
    <b v="1"/>
    <s v="M"/>
    <s v="Larry"/>
    <s v="Page"/>
    <x v="11"/>
    <n v="117.24"/>
    <s v="$21,427,700,000,000 "/>
    <n v="78.5"/>
    <n v="9.6"/>
    <n v="36.6"/>
    <n v="328239523"/>
  </r>
  <r>
    <n v="13"/>
    <x v="12"/>
    <x v="4"/>
    <s v="La Coruna"/>
    <x v="11"/>
    <x v="0"/>
    <b v="1"/>
    <s v="M"/>
    <s v="Amancio"/>
    <s v="Ortega"/>
    <x v="12"/>
    <n v="110.96"/>
    <s v="$1,394,116,310,769 "/>
    <n v="83.3"/>
    <n v="14.2"/>
    <n v="47"/>
    <n v="47076781"/>
  </r>
  <r>
    <n v="14"/>
    <x v="13"/>
    <x v="1"/>
    <s v="Los Altos"/>
    <x v="10"/>
    <x v="2"/>
    <b v="1"/>
    <s v="M"/>
    <s v="Sergey"/>
    <s v="Brin"/>
    <x v="13"/>
    <n v="117.24"/>
    <s v="$21,427,700,000,000 "/>
    <n v="78.5"/>
    <n v="9.6"/>
    <n v="36.6"/>
    <n v="328239523"/>
  </r>
  <r>
    <n v="15"/>
    <x v="14"/>
    <x v="5"/>
    <s v="Hangzhou"/>
    <x v="12"/>
    <x v="7"/>
    <b v="1"/>
    <s v="M"/>
    <s v="Shanshan"/>
    <s v="Zhong"/>
    <x v="14"/>
    <n v="125.08"/>
    <s v="$19,910,000,000,000 "/>
    <n v="77"/>
    <n v="9.4"/>
    <n v="59.2"/>
    <n v="1397715000"/>
  </r>
  <r>
    <n v="16"/>
    <x v="15"/>
    <x v="1"/>
    <s v="Palo Alto"/>
    <x v="13"/>
    <x v="2"/>
    <b v="1"/>
    <s v="M"/>
    <s v="Mark"/>
    <s v="Zuckerberg"/>
    <x v="15"/>
    <n v="117.24"/>
    <s v="$21,427,700,000,000 "/>
    <n v="78.5"/>
    <n v="9.6"/>
    <n v="36.6"/>
    <n v="328239523"/>
  </r>
  <r>
    <n v="17"/>
    <x v="16"/>
    <x v="1"/>
    <s v="Wichita"/>
    <x v="14"/>
    <x v="6"/>
    <b v="0"/>
    <s v="M"/>
    <s v="Charles"/>
    <s v="Koch"/>
    <x v="16"/>
    <n v="117.24"/>
    <s v="$21,427,700,000,000 "/>
    <n v="78.5"/>
    <n v="9.6"/>
    <n v="36.6"/>
    <n v="328239523"/>
  </r>
  <r>
    <n v="17"/>
    <x v="17"/>
    <x v="1"/>
    <s v="New York"/>
    <x v="14"/>
    <x v="6"/>
    <b v="0"/>
    <s v="F"/>
    <s v="Julia"/>
    <s v="Koch"/>
    <x v="16"/>
    <n v="117.24"/>
    <s v="$21,427,700,000,000 "/>
    <n v="78.5"/>
    <n v="9.6"/>
    <n v="36.6"/>
    <n v="328239523"/>
  </r>
  <r>
    <n v="19"/>
    <x v="18"/>
    <x v="1"/>
    <s v="Bentonville"/>
    <x v="15"/>
    <x v="0"/>
    <b v="0"/>
    <s v="M"/>
    <s v="Jim"/>
    <s v="Walton"/>
    <x v="17"/>
    <n v="117.24"/>
    <s v="$21,427,700,000,000 "/>
    <n v="78.5"/>
    <n v="9.6"/>
    <n v="36.6"/>
    <n v="328239523"/>
  </r>
  <r>
    <n v="20"/>
    <x v="19"/>
    <x v="1"/>
    <s v="Bentonville"/>
    <x v="15"/>
    <x v="0"/>
    <b v="0"/>
    <s v="M"/>
    <s v="Rob"/>
    <s v="Walton"/>
    <x v="18"/>
    <n v="117.24"/>
    <s v="$21,427,700,000,000 "/>
    <n v="78.5"/>
    <n v="9.6"/>
    <n v="36.6"/>
    <n v="328239523"/>
  </r>
  <r>
    <n v="21"/>
    <x v="20"/>
    <x v="1"/>
    <s v="Fort Worth"/>
    <x v="15"/>
    <x v="0"/>
    <b v="0"/>
    <s v="F"/>
    <s v="Alice"/>
    <s v="Walton"/>
    <x v="19"/>
    <n v="117.24"/>
    <s v="$21,427,700,000,000 "/>
    <n v="78.5"/>
    <n v="9.6"/>
    <n v="36.6"/>
    <n v="328239523"/>
  </r>
  <r>
    <n v="22"/>
    <x v="21"/>
    <x v="6"/>
    <s v="Toronto"/>
    <x v="16"/>
    <x v="4"/>
    <b v="0"/>
    <s v="M"/>
    <s v="David"/>
    <s v="Thomson"/>
    <x v="20"/>
    <n v="116.76"/>
    <s v="$1,736,425,629,520 "/>
    <n v="81.900000000000006"/>
    <n v="12.8"/>
    <n v="24.5"/>
    <n v="36991981"/>
  </r>
  <r>
    <n v="23"/>
    <x v="22"/>
    <x v="1"/>
    <s v="Austin"/>
    <x v="17"/>
    <x v="2"/>
    <b v="1"/>
    <s v="M"/>
    <s v="Michael"/>
    <s v="Dell"/>
    <x v="21"/>
    <n v="117.24"/>
    <s v="$21,427,700,000,000 "/>
    <n v="78.5"/>
    <n v="9.6"/>
    <n v="36.6"/>
    <n v="328239523"/>
  </r>
  <r>
    <n v="24"/>
    <x v="23"/>
    <x v="3"/>
    <s v="Ahmedabad"/>
    <x v="18"/>
    <x v="6"/>
    <b v="1"/>
    <s v="M"/>
    <s v="Gautam"/>
    <s v="Adani"/>
    <x v="22"/>
    <n v="180.44"/>
    <s v="$2,611,000,000,000 "/>
    <n v="69.400000000000006"/>
    <n v="11.2"/>
    <n v="49.7"/>
    <n v="1366417754"/>
  </r>
  <r>
    <n v="25"/>
    <x v="24"/>
    <x v="1"/>
    <s v="Hillsboro"/>
    <x v="19"/>
    <x v="0"/>
    <b v="1"/>
    <s v="M"/>
    <s v="Phil"/>
    <s v="Knight"/>
    <x v="23"/>
    <n v="117.24"/>
    <s v="$21,427,700,000,000 "/>
    <n v="78.5"/>
    <n v="9.6"/>
    <n v="36.6"/>
    <n v="328239523"/>
  </r>
  <r>
    <n v="26"/>
    <x v="25"/>
    <x v="5"/>
    <s v="Beijing"/>
    <x v="20"/>
    <x v="2"/>
    <b v="1"/>
    <s v="M"/>
    <s v="Yiming"/>
    <s v="Zhang"/>
    <x v="24"/>
    <n v="125.08"/>
    <s v="$19,910,000,000,000 "/>
    <n v="77"/>
    <n v="9.4"/>
    <n v="59.2"/>
    <n v="1397715000"/>
  </r>
  <r>
    <n v="27"/>
    <x v="26"/>
    <x v="7"/>
    <s v="Neckarsulm"/>
    <x v="21"/>
    <x v="0"/>
    <b v="0"/>
    <s v="M"/>
    <s v="Dieter"/>
    <s v="Schwarz"/>
    <x v="25"/>
    <n v="112.85"/>
    <s v="$3,845,630,030,824 "/>
    <n v="80.900000000000006"/>
    <n v="11.5"/>
    <n v="48.8"/>
    <n v="83132799"/>
  </r>
  <r>
    <n v="28"/>
    <x v="27"/>
    <x v="0"/>
    <s v="Paris"/>
    <x v="22"/>
    <x v="0"/>
    <b v="1"/>
    <s v="M"/>
    <s v="François"/>
    <s v="Pinault"/>
    <x v="26"/>
    <n v="110.05"/>
    <s v="$2,715,518,274,227 "/>
    <n v="82.5"/>
    <n v="24.2"/>
    <n v="60.7"/>
    <n v="67059887"/>
  </r>
  <r>
    <n v="29"/>
    <x v="28"/>
    <x v="8"/>
    <s v="Schindellegi"/>
    <x v="23"/>
    <x v="8"/>
    <b v="0"/>
    <s v="M"/>
    <s v="Klaus-Michael"/>
    <s v="Kuehne"/>
    <x v="27"/>
    <n v="99.55"/>
    <s v="$703,082,435,360 "/>
    <n v="83.6"/>
    <n v="10.1"/>
    <n v="28.8"/>
    <n v="8574832"/>
  </r>
  <r>
    <n v="30"/>
    <x v="29"/>
    <x v="9"/>
    <s v="Brussels"/>
    <x v="24"/>
    <x v="7"/>
    <b v="0"/>
    <s v="M"/>
    <s v="Giovanni"/>
    <s v="Ferrero"/>
    <x v="28"/>
    <n v="117.11"/>
    <s v="$529,606,710,418 "/>
    <n v="81.599999999999994"/>
    <n v="24"/>
    <n v="55.4"/>
    <n v="11484055"/>
  </r>
  <r>
    <n v="31"/>
    <x v="30"/>
    <x v="1"/>
    <s v="The Plains"/>
    <x v="25"/>
    <x v="7"/>
    <b v="0"/>
    <s v="F"/>
    <s v="Jacqueline"/>
    <s v="Mars"/>
    <x v="29"/>
    <n v="117.24"/>
    <s v="$21,427,700,000,000 "/>
    <n v="78.5"/>
    <n v="9.6"/>
    <n v="36.6"/>
    <n v="328239523"/>
  </r>
  <r>
    <n v="31"/>
    <x v="31"/>
    <x v="1"/>
    <s v="Jackson"/>
    <x v="25"/>
    <x v="7"/>
    <b v="0"/>
    <s v="M"/>
    <s v="John"/>
    <s v="Mars"/>
    <x v="29"/>
    <n v="117.24"/>
    <s v="$21,427,700,000,000 "/>
    <n v="78.5"/>
    <n v="9.6"/>
    <n v="36.6"/>
    <n v="328239523"/>
  </r>
  <r>
    <n v="34"/>
    <x v="32"/>
    <x v="5"/>
    <s v="Shenzhen"/>
    <x v="26"/>
    <x v="2"/>
    <b v="1"/>
    <s v="M"/>
    <s v="Huateng"/>
    <s v="Ma"/>
    <x v="30"/>
    <n v="125.08"/>
    <s v="$19,910,000,000,000 "/>
    <n v="77"/>
    <n v="9.4"/>
    <n v="59.2"/>
    <n v="1397715000"/>
  </r>
  <r>
    <n v="35"/>
    <x v="33"/>
    <x v="1"/>
    <s v="Las Vegas"/>
    <x v="27"/>
    <x v="9"/>
    <b v="0"/>
    <s v="F"/>
    <s v="Miriam"/>
    <s v="Adelson"/>
    <x v="31"/>
    <n v="117.24"/>
    <s v="$21,427,700,000,000 "/>
    <n v="78.5"/>
    <n v="9.6"/>
    <n v="36.6"/>
    <n v="328239523"/>
  </r>
  <r>
    <n v="35"/>
    <x v="34"/>
    <x v="1"/>
    <s v="Miami"/>
    <x v="28"/>
    <x v="3"/>
    <b v="1"/>
    <s v="M"/>
    <s v="Ken"/>
    <s v="Griffin"/>
    <x v="31"/>
    <n v="117.24"/>
    <s v="$21,427,700,000,000 "/>
    <n v="78.5"/>
    <n v="9.6"/>
    <n v="36.6"/>
    <n v="328239523"/>
  </r>
  <r>
    <n v="37"/>
    <x v="35"/>
    <x v="10"/>
    <s v="Salzburg"/>
    <x v="29"/>
    <x v="7"/>
    <b v="0"/>
    <s v="M"/>
    <s v="Mark"/>
    <s v="Mateschitz"/>
    <x v="32"/>
    <n v="118.06"/>
    <s v="$446,314,739,528 "/>
    <n v="81.599999999999994"/>
    <n v="25.4"/>
    <n v="51.4"/>
    <n v="8877067"/>
  </r>
  <r>
    <n v="38"/>
    <x v="36"/>
    <x v="5"/>
    <s v="Ningde"/>
    <x v="30"/>
    <x v="1"/>
    <b v="1"/>
    <s v="M"/>
    <s v="Robin"/>
    <s v="Zeng"/>
    <x v="33"/>
    <n v="125.08"/>
    <s v="$19,910,000,000,000 "/>
    <n v="77"/>
    <n v="9.4"/>
    <n v="59.2"/>
    <n v="1397715000"/>
  </r>
  <r>
    <n v="39"/>
    <x v="37"/>
    <x v="11"/>
    <s v="Tokyo"/>
    <x v="31"/>
    <x v="0"/>
    <b v="1"/>
    <s v="M"/>
    <s v="Tadashi"/>
    <s v="Yanai"/>
    <x v="34"/>
    <n v="105.48"/>
    <s v="$5,081,769,542,380 "/>
    <n v="84.2"/>
    <n v="11.9"/>
    <n v="46.7"/>
    <n v="126226568"/>
  </r>
  <r>
    <n v="40"/>
    <x v="38"/>
    <x v="12"/>
    <s v="London"/>
    <x v="32"/>
    <x v="6"/>
    <b v="1"/>
    <s v="M"/>
    <s v="Len"/>
    <s v="Blavatnik"/>
    <x v="35"/>
    <n v="119.62"/>
    <s v="$2,827,113,184,696 "/>
    <n v="81.3"/>
    <n v="25.5"/>
    <n v="30.6"/>
    <n v="66834405"/>
  </r>
  <r>
    <n v="41"/>
    <x v="39"/>
    <x v="1"/>
    <s v="New York"/>
    <x v="33"/>
    <x v="0"/>
    <b v="0"/>
    <s v="M"/>
    <s v="Alain"/>
    <s v="Wertheimer"/>
    <x v="36"/>
    <n v="117.24"/>
    <s v="$21,427,700,000,000 "/>
    <n v="78.5"/>
    <n v="9.6"/>
    <n v="36.6"/>
    <n v="328239523"/>
  </r>
  <r>
    <n v="41"/>
    <x v="40"/>
    <x v="1"/>
    <s v="New York"/>
    <x v="33"/>
    <x v="0"/>
    <b v="0"/>
    <s v="M"/>
    <s v="Gerard"/>
    <s v="Wertheimer"/>
    <x v="36"/>
    <n v="117.24"/>
    <s v="$21,427,700,000,000 "/>
    <n v="78.5"/>
    <n v="9.6"/>
    <n v="36.6"/>
    <n v="328239523"/>
  </r>
  <r>
    <n v="43"/>
    <x v="41"/>
    <x v="8"/>
    <s v="Geneva"/>
    <x v="23"/>
    <x v="8"/>
    <b v="1"/>
    <s v="M"/>
    <s v="Gianluigi"/>
    <s v="Aponte"/>
    <x v="37"/>
    <n v="99.55"/>
    <s v="$703,082,435,360 "/>
    <n v="83.6"/>
    <n v="10.1"/>
    <n v="28.8"/>
    <n v="8574832"/>
  </r>
  <r>
    <n v="43"/>
    <x v="42"/>
    <x v="8"/>
    <s v="Geneva"/>
    <x v="23"/>
    <x v="8"/>
    <b v="1"/>
    <s v="F"/>
    <s v="Rafaela"/>
    <s v="Aponte-Diamant"/>
    <x v="37"/>
    <n v="99.55"/>
    <s v="$703,082,435,360 "/>
    <n v="83.6"/>
    <n v="10.1"/>
    <n v="28.8"/>
    <n v="8574832"/>
  </r>
  <r>
    <n v="45"/>
    <x v="43"/>
    <x v="5"/>
    <s v="Shanghai"/>
    <x v="34"/>
    <x v="2"/>
    <b v="1"/>
    <s v="M"/>
    <s v="Colin Zheng"/>
    <s v="Huang"/>
    <x v="38"/>
    <n v="125.08"/>
    <s v="$19,910,000,000,000 "/>
    <n v="77"/>
    <n v="9.4"/>
    <n v="59.2"/>
    <n v="1397715000"/>
  </r>
  <r>
    <n v="46"/>
    <x v="44"/>
    <x v="7"/>
    <s v="Kuenzelsau"/>
    <x v="35"/>
    <x v="10"/>
    <b v="1"/>
    <s v="M"/>
    <s v="Reinhold"/>
    <s v="Wuerth"/>
    <x v="39"/>
    <n v="112.85"/>
    <s v="$3,845,630,030,824 "/>
    <n v="80.900000000000006"/>
    <n v="11.5"/>
    <n v="48.8"/>
    <n v="83132799"/>
  </r>
  <r>
    <n v="48"/>
    <x v="45"/>
    <x v="1"/>
    <s v="Haverford"/>
    <x v="36"/>
    <x v="3"/>
    <b v="1"/>
    <s v="M"/>
    <s v="Jeff"/>
    <s v="Yass"/>
    <x v="40"/>
    <n v="117.24"/>
    <s v="$21,427,700,000,000 "/>
    <n v="78.5"/>
    <n v="9.6"/>
    <n v="36.6"/>
    <n v="328239523"/>
  </r>
  <r>
    <n v="49"/>
    <x v="46"/>
    <x v="1"/>
    <s v="East Setauket"/>
    <x v="28"/>
    <x v="3"/>
    <b v="1"/>
    <s v="M"/>
    <s v="Jim"/>
    <s v="Simons"/>
    <x v="41"/>
    <n v="117.24"/>
    <s v="$21,427,700,000,000 "/>
    <n v="78.5"/>
    <n v="9.6"/>
    <n v="36.6"/>
    <n v="328239523"/>
  </r>
  <r>
    <n v="50"/>
    <x v="47"/>
    <x v="1"/>
    <s v="New York"/>
    <x v="37"/>
    <x v="3"/>
    <b v="1"/>
    <s v="M"/>
    <s v="Stephen"/>
    <s v="Schwarzman"/>
    <x v="42"/>
    <n v="117.24"/>
    <s v="$21,427,700,000,000 "/>
    <n v="78.5"/>
    <n v="9.6"/>
    <n v="36.6"/>
    <n v="328239523"/>
  </r>
  <r>
    <n v="51"/>
    <x v="48"/>
    <x v="7"/>
    <s v="Bad Homburg"/>
    <x v="38"/>
    <x v="1"/>
    <b v="0"/>
    <s v="F"/>
    <s v="Susanne"/>
    <s v="Klatten"/>
    <x v="43"/>
    <n v="112.85"/>
    <s v="$3,845,630,030,824 "/>
    <n v="80.900000000000006"/>
    <n v="11.5"/>
    <n v="48.8"/>
    <n v="83132799"/>
  </r>
  <r>
    <n v="52"/>
    <x v="49"/>
    <x v="13"/>
    <s v="Perth"/>
    <x v="39"/>
    <x v="11"/>
    <b v="0"/>
    <s v="F"/>
    <s v="Gina"/>
    <s v="Rinehart"/>
    <x v="44"/>
    <n v="119.8"/>
    <s v="$1,392,680,589,329 "/>
    <n v="82.7"/>
    <n v="23"/>
    <n v="47.4"/>
    <n v="25766605"/>
  </r>
  <r>
    <n v="53"/>
    <x v="50"/>
    <x v="5"/>
    <s v="Hangzhou"/>
    <x v="40"/>
    <x v="2"/>
    <b v="1"/>
    <s v="M"/>
    <s v="William"/>
    <s v="Ding"/>
    <x v="45"/>
    <n v="125.08"/>
    <s v="$19,910,000,000,000 "/>
    <n v="77"/>
    <n v="9.4"/>
    <n v="59.2"/>
    <n v="1397715000"/>
  </r>
  <r>
    <n v="54"/>
    <x v="51"/>
    <x v="2"/>
    <s v="Mexico City"/>
    <x v="39"/>
    <x v="11"/>
    <b v="0"/>
    <s v="M"/>
    <s v="Germán"/>
    <s v="Larrea Mota Velasco"/>
    <x v="46"/>
    <n v="141.54"/>
    <s v="$1,258,286,717,125 "/>
    <n v="75"/>
    <n v="13.1"/>
    <n v="55.1"/>
    <n v="126014024"/>
  </r>
  <r>
    <n v="55"/>
    <x v="52"/>
    <x v="3"/>
    <s v="Delhi"/>
    <x v="41"/>
    <x v="2"/>
    <b v="1"/>
    <s v="M"/>
    <s v="Shiv"/>
    <s v="Nadar"/>
    <x v="47"/>
    <n v="180.44"/>
    <s v="$2,611,000,000,000 "/>
    <n v="69.400000000000006"/>
    <n v="11.2"/>
    <n v="49.7"/>
    <n v="1366417754"/>
  </r>
  <r>
    <n v="56"/>
    <x v="53"/>
    <x v="14"/>
    <s v="Jakarta"/>
    <x v="42"/>
    <x v="12"/>
    <b v="1"/>
    <s v="M"/>
    <s v="Kwong"/>
    <s v="Low Tuck"/>
    <x v="48"/>
    <n v="151.18"/>
    <s v="$1,119,190,780,753 "/>
    <n v="71.5"/>
    <n v="10.199999999999999"/>
    <n v="30.1"/>
    <n v="270203917"/>
  </r>
  <r>
    <n v="57"/>
    <x v="54"/>
    <x v="1"/>
    <s v="Palm Beach"/>
    <x v="43"/>
    <x v="3"/>
    <b v="1"/>
    <s v="M"/>
    <s v="Thomas"/>
    <s v="Peterffy"/>
    <x v="49"/>
    <n v="117.24"/>
    <s v="$21,427,700,000,000 "/>
    <n v="78.5"/>
    <n v="9.6"/>
    <n v="36.6"/>
    <n v="328239523"/>
  </r>
  <r>
    <n v="58"/>
    <x v="55"/>
    <x v="15"/>
    <s v="Ras Al Khaimah"/>
    <x v="44"/>
    <x v="11"/>
    <b v="1"/>
    <s v="M"/>
    <s v="Andrey"/>
    <s v="Melnichenko"/>
    <x v="50"/>
    <n v="114.52"/>
    <s v="$421,142,267,938 "/>
    <n v="77.8"/>
    <n v="0.1"/>
    <n v="15.9"/>
    <n v="9770529"/>
  </r>
  <r>
    <n v="59"/>
    <x v="56"/>
    <x v="7"/>
    <s v="Frankfurt"/>
    <x v="45"/>
    <x v="1"/>
    <b v="0"/>
    <s v="M"/>
    <s v="Stefan"/>
    <s v="Quandt"/>
    <x v="51"/>
    <n v="112.85"/>
    <s v="$3,845,630,030,824 "/>
    <n v="80.900000000000006"/>
    <n v="11.5"/>
    <n v="48.8"/>
    <n v="83132799"/>
  </r>
  <r>
    <n v="60"/>
    <x v="57"/>
    <x v="1"/>
    <s v="Seattle"/>
    <x v="2"/>
    <x v="2"/>
    <b v="0"/>
    <s v="F"/>
    <s v="MacKenzie"/>
    <s v="Scott"/>
    <x v="52"/>
    <n v="117.24"/>
    <s v="$21,427,700,000,000 "/>
    <n v="78.5"/>
    <n v="9.6"/>
    <n v="36.6"/>
    <n v="328239523"/>
  </r>
  <r>
    <n v="61"/>
    <x v="58"/>
    <x v="14"/>
    <s v="Kudus"/>
    <x v="46"/>
    <x v="3"/>
    <b v="0"/>
    <s v="M"/>
    <s v="R. Budi"/>
    <s v="Hartono"/>
    <x v="53"/>
    <n v="151.18"/>
    <s v="$1,119,190,780,753 "/>
    <n v="71.5"/>
    <n v="10.199999999999999"/>
    <n v="30.1"/>
    <n v="270203917"/>
  </r>
  <r>
    <n v="62"/>
    <x v="59"/>
    <x v="16"/>
    <s v="Moscow"/>
    <x v="47"/>
    <x v="11"/>
    <b v="1"/>
    <s v="M"/>
    <s v="Vladimir"/>
    <s v="Potanin"/>
    <x v="54"/>
    <n v="180.75"/>
    <s v="$1,699,876,578,871 "/>
    <n v="72.7"/>
    <n v="11.4"/>
    <n v="46.2"/>
    <n v="144373535"/>
  </r>
  <r>
    <n v="63"/>
    <x v="60"/>
    <x v="5"/>
    <s v="Hangzhou"/>
    <x v="34"/>
    <x v="2"/>
    <b v="1"/>
    <s v="M"/>
    <s v="Jack"/>
    <s v="Ma"/>
    <x v="55"/>
    <n v="125.08"/>
    <s v="$19,910,000,000,000 "/>
    <n v="77"/>
    <n v="9.4"/>
    <n v="59.2"/>
    <n v="1397715000"/>
  </r>
  <r>
    <n v="64"/>
    <x v="61"/>
    <x v="5"/>
    <s v="Foshan"/>
    <x v="48"/>
    <x v="10"/>
    <b v="1"/>
    <s v="M"/>
    <s v="Xiangjian"/>
    <s v="He"/>
    <x v="56"/>
    <n v="125.08"/>
    <s v="$19,910,000,000,000 "/>
    <n v="77"/>
    <n v="9.4"/>
    <n v="59.2"/>
    <n v="1397715000"/>
  </r>
  <r>
    <n v="65"/>
    <x v="62"/>
    <x v="17"/>
    <s v="Santiago"/>
    <x v="39"/>
    <x v="11"/>
    <b v="0"/>
    <s v="F"/>
    <s v="Iris"/>
    <s v="Fontbona"/>
    <x v="57"/>
    <n v="131.91"/>
    <s v="$282,318,159,745 "/>
    <n v="80"/>
    <n v="18.2"/>
    <n v="34"/>
    <n v="18952038"/>
  </r>
  <r>
    <n v="65"/>
    <x v="63"/>
    <x v="14"/>
    <s v="Kudus"/>
    <x v="46"/>
    <x v="10"/>
    <b v="0"/>
    <s v="M"/>
    <s v="Michael"/>
    <s v="Hartono"/>
    <x v="57"/>
    <n v="151.18"/>
    <s v="$1,119,190,780,753 "/>
    <n v="71.5"/>
    <n v="10.199999999999999"/>
    <n v="30.1"/>
    <n v="270203917"/>
  </r>
  <r>
    <n v="67"/>
    <x v="64"/>
    <x v="12"/>
    <s v="London"/>
    <x v="49"/>
    <x v="10"/>
    <b v="1"/>
    <s v="M"/>
    <s v="James"/>
    <s v="Ratcliffe"/>
    <x v="58"/>
    <n v="119.62"/>
    <s v="$2,827,113,184,696 "/>
    <n v="81.3"/>
    <n v="25.5"/>
    <n v="30.6"/>
    <n v="66834405"/>
  </r>
  <r>
    <n v="68"/>
    <x v="65"/>
    <x v="3"/>
    <s v="Pune"/>
    <x v="50"/>
    <x v="13"/>
    <b v="0"/>
    <s v="M"/>
    <s v="Cyrus"/>
    <s v="Poonawalla"/>
    <x v="59"/>
    <n v="180.44"/>
    <s v="$2,611,000,000,000 "/>
    <n v="69.400000000000006"/>
    <n v="11.2"/>
    <n v="49.7"/>
    <n v="1366417754"/>
  </r>
  <r>
    <n v="69"/>
    <x v="66"/>
    <x v="11"/>
    <s v="Tokyo"/>
    <x v="51"/>
    <x v="5"/>
    <b v="1"/>
    <s v="M"/>
    <s v="Masayoshi"/>
    <s v="Son"/>
    <x v="60"/>
    <n v="105.48"/>
    <s v="$5,081,769,542,380 "/>
    <n v="84.2"/>
    <n v="11.9"/>
    <n v="46.7"/>
    <n v="126226568"/>
  </r>
  <r>
    <n v="70"/>
    <x v="67"/>
    <x v="16"/>
    <s v="Moscow"/>
    <x v="52"/>
    <x v="11"/>
    <b v="1"/>
    <s v="M"/>
    <s v="Vladimir"/>
    <s v="Lisin"/>
    <x v="61"/>
    <n v="180.75"/>
    <s v="$1,699,876,578,871 "/>
    <n v="72.7"/>
    <n v="11.4"/>
    <n v="46.2"/>
    <n v="144373535"/>
  </r>
  <r>
    <n v="71"/>
    <x v="68"/>
    <x v="0"/>
    <s v="Laval"/>
    <x v="53"/>
    <x v="7"/>
    <b v="0"/>
    <s v="M"/>
    <s v="Emmanuel"/>
    <s v="Besnier"/>
    <x v="62"/>
    <n v="110.05"/>
    <s v="$2,715,518,274,227 "/>
    <n v="82.5"/>
    <n v="24.2"/>
    <n v="60.7"/>
    <n v="67059887"/>
  </r>
  <r>
    <n v="72"/>
    <x v="69"/>
    <x v="1"/>
    <s v="Milton"/>
    <x v="54"/>
    <x v="3"/>
    <b v="0"/>
    <s v="F"/>
    <s v="Abigail"/>
    <s v="Johnson"/>
    <x v="63"/>
    <n v="117.24"/>
    <s v="$21,427,700,000,000 "/>
    <n v="78.5"/>
    <n v="9.6"/>
    <n v="36.6"/>
    <n v="328239523"/>
  </r>
  <r>
    <n v="72"/>
    <x v="70"/>
    <x v="16"/>
    <s v="Moscow"/>
    <x v="55"/>
    <x v="12"/>
    <b v="1"/>
    <s v="M"/>
    <s v="Leonid"/>
    <s v="Mikhelson"/>
    <x v="63"/>
    <n v="180.75"/>
    <s v="$1,699,876,578,871 "/>
    <n v="72.7"/>
    <n v="11.4"/>
    <n v="46.2"/>
    <n v="144373535"/>
  </r>
  <r>
    <n v="74"/>
    <x v="71"/>
    <x v="1"/>
    <s v="Chicago"/>
    <x v="15"/>
    <x v="0"/>
    <b v="0"/>
    <s v="M"/>
    <s v="Lukas"/>
    <s v="Walton"/>
    <x v="64"/>
    <n v="117.24"/>
    <s v="$21,427,700,000,000 "/>
    <n v="78.5"/>
    <n v="9.6"/>
    <n v="36.6"/>
    <n v="328239523"/>
  </r>
  <r>
    <n v="74"/>
    <x v="72"/>
    <x v="5"/>
    <s v="Shenzhen"/>
    <x v="56"/>
    <x v="14"/>
    <b v="1"/>
    <s v="M"/>
    <s v="Wei"/>
    <s v="Wang"/>
    <x v="64"/>
    <n v="125.08"/>
    <s v="$19,910,000,000,000 "/>
    <n v="77"/>
    <n v="9.4"/>
    <n v="59.2"/>
    <n v="1397715000"/>
  </r>
  <r>
    <n v="76"/>
    <x v="73"/>
    <x v="1"/>
    <s v="Los Altos"/>
    <x v="57"/>
    <x v="2"/>
    <b v="1"/>
    <s v="M"/>
    <s v="Jensen"/>
    <s v="Huang"/>
    <x v="65"/>
    <n v="117.24"/>
    <s v="$21,427,700,000,000 "/>
    <n v="78.5"/>
    <n v="9.6"/>
    <n v="36.6"/>
    <n v="328239523"/>
  </r>
  <r>
    <n v="77"/>
    <x v="74"/>
    <x v="1"/>
    <s v="New York"/>
    <x v="58"/>
    <x v="0"/>
    <b v="0"/>
    <s v="M"/>
    <s v="Leonard"/>
    <s v="Lauder"/>
    <x v="66"/>
    <n v="117.24"/>
    <s v="$21,427,700,000,000 "/>
    <n v="78.5"/>
    <n v="9.6"/>
    <n v="36.6"/>
    <n v="328239523"/>
  </r>
  <r>
    <n v="77"/>
    <x v="75"/>
    <x v="11"/>
    <s v="Osaka"/>
    <x v="59"/>
    <x v="10"/>
    <b v="1"/>
    <s v="M"/>
    <s v="Takemitsu"/>
    <s v="Takizaki"/>
    <x v="66"/>
    <n v="105.48"/>
    <s v="$5,081,769,542,380 "/>
    <n v="84.2"/>
    <n v="11.9"/>
    <n v="46.7"/>
    <n v="126226568"/>
  </r>
  <r>
    <n v="79"/>
    <x v="76"/>
    <x v="16"/>
    <s v="Moscow"/>
    <x v="60"/>
    <x v="11"/>
    <b v="1"/>
    <s v="M"/>
    <s v="Alexey"/>
    <s v="Mordashov"/>
    <x v="67"/>
    <n v="180.75"/>
    <s v="$1,699,876,578,871 "/>
    <n v="72.7"/>
    <n v="11.4"/>
    <n v="46.2"/>
    <n v="144373535"/>
  </r>
  <r>
    <n v="80"/>
    <x v="77"/>
    <x v="16"/>
    <s v="Moscow"/>
    <x v="61"/>
    <x v="12"/>
    <b v="1"/>
    <s v="M"/>
    <s v="Vagit"/>
    <s v="Alekperov"/>
    <x v="68"/>
    <n v="180.75"/>
    <s v="$1,699,876,578,871 "/>
    <n v="72.7"/>
    <n v="11.4"/>
    <n v="46.2"/>
    <n v="144373535"/>
  </r>
  <r>
    <n v="81"/>
    <x v="78"/>
    <x v="1"/>
    <s v="Nashville"/>
    <x v="62"/>
    <x v="13"/>
    <b v="1"/>
    <s v="M"/>
    <s v="Thomas"/>
    <s v="Frist"/>
    <x v="69"/>
    <n v="117.24"/>
    <s v="$21,427,700,000,000 "/>
    <n v="78.5"/>
    <n v="9.6"/>
    <n v="36.6"/>
    <n v="328239523"/>
  </r>
  <r>
    <n v="82"/>
    <x v="79"/>
    <x v="13"/>
    <s v="Perth"/>
    <x v="39"/>
    <x v="11"/>
    <b v="1"/>
    <s v="M"/>
    <s v="Andrew"/>
    <s v="Forrest"/>
    <x v="70"/>
    <n v="119.8"/>
    <s v="$1,392,680,589,329 "/>
    <n v="82.7"/>
    <n v="23"/>
    <n v="47.4"/>
    <n v="25766605"/>
  </r>
  <r>
    <n v="83"/>
    <x v="80"/>
    <x v="1"/>
    <s v="Greenwich"/>
    <x v="28"/>
    <x v="3"/>
    <b v="1"/>
    <s v="M"/>
    <s v="Ray"/>
    <s v="Dalio"/>
    <x v="71"/>
    <n v="117.24"/>
    <s v="$21,427,700,000,000 "/>
    <n v="78.5"/>
    <n v="9.6"/>
    <n v="36.6"/>
    <n v="328239523"/>
  </r>
  <r>
    <n v="84"/>
    <x v="81"/>
    <x v="5"/>
    <s v="Hangzhou"/>
    <x v="63"/>
    <x v="1"/>
    <b v="1"/>
    <s v="M"/>
    <s v="Eric"/>
    <s v="Li"/>
    <x v="72"/>
    <n v="125.08"/>
    <s v="$19,910,000,000,000 "/>
    <n v="77"/>
    <n v="9.4"/>
    <n v="59.2"/>
    <n v="1397715000"/>
  </r>
  <r>
    <n v="84"/>
    <x v="82"/>
    <x v="5"/>
    <s v="Shenzhen"/>
    <x v="64"/>
    <x v="11"/>
    <b v="1"/>
    <s v="M"/>
    <s v="Wenyin"/>
    <s v="Wang"/>
    <x v="72"/>
    <n v="125.08"/>
    <s v="$19,910,000,000,000 "/>
    <n v="77"/>
    <n v="9.4"/>
    <n v="59.2"/>
    <n v="1397715000"/>
  </r>
  <r>
    <n v="86"/>
    <x v="83"/>
    <x v="5"/>
    <s v="Nanyang"/>
    <x v="65"/>
    <x v="7"/>
    <b v="1"/>
    <s v="M"/>
    <s v="Yinglin"/>
    <s v="Qin"/>
    <x v="73"/>
    <n v="125.08"/>
    <s v="$19,910,000,000,000 "/>
    <n v="77"/>
    <n v="9.4"/>
    <n v="59.2"/>
    <n v="1397715000"/>
  </r>
  <r>
    <n v="88"/>
    <x v="84"/>
    <x v="5"/>
    <s v="Shenzhen"/>
    <x v="66"/>
    <x v="1"/>
    <b v="1"/>
    <s v="M"/>
    <s v="Chuanfu"/>
    <s v="Wang"/>
    <x v="74"/>
    <n v="125.08"/>
    <s v="$19,910,000,000,000 "/>
    <n v="77"/>
    <n v="9.4"/>
    <n v="59.2"/>
    <n v="1397715000"/>
  </r>
  <r>
    <n v="89"/>
    <x v="85"/>
    <x v="1"/>
    <s v="Oklahoma City"/>
    <x v="67"/>
    <x v="12"/>
    <b v="1"/>
    <s v="M"/>
    <s v="Harold"/>
    <s v="Hamm"/>
    <x v="75"/>
    <n v="117.24"/>
    <s v="$21,427,700,000,000 "/>
    <n v="78.5"/>
    <n v="9.6"/>
    <n v="36.6"/>
    <n v="328239523"/>
  </r>
  <r>
    <n v="89"/>
    <x v="86"/>
    <x v="1"/>
    <s v="Palm Beach"/>
    <x v="28"/>
    <x v="3"/>
    <b v="1"/>
    <s v="M"/>
    <s v="David"/>
    <s v="Tepper"/>
    <x v="75"/>
    <n v="117.24"/>
    <s v="$21,427,700,000,000 "/>
    <n v="78.5"/>
    <n v="9.6"/>
    <n v="36.6"/>
    <n v="328239523"/>
  </r>
  <r>
    <n v="89"/>
    <x v="87"/>
    <x v="16"/>
    <s v="Moscow"/>
    <x v="68"/>
    <x v="12"/>
    <b v="1"/>
    <s v="M"/>
    <s v="Gennady"/>
    <s v="Timchenko"/>
    <x v="75"/>
    <n v="180.75"/>
    <s v="$1,699,876,578,871 "/>
    <n v="72.7"/>
    <n v="11.4"/>
    <n v="46.2"/>
    <n v="144373535"/>
  </r>
  <r>
    <n v="92"/>
    <x v="88"/>
    <x v="1"/>
    <s v="Franklin"/>
    <x v="69"/>
    <x v="3"/>
    <b v="1"/>
    <s v="M"/>
    <s v="Daniel"/>
    <s v="Gilbert"/>
    <x v="76"/>
    <n v="117.24"/>
    <s v="$21,427,700,000,000 "/>
    <n v="78.5"/>
    <n v="9.6"/>
    <n v="36.6"/>
    <n v="328239523"/>
  </r>
  <r>
    <n v="93"/>
    <x v="89"/>
    <x v="12"/>
    <s v="London"/>
    <x v="70"/>
    <x v="11"/>
    <b v="0"/>
    <s v="M"/>
    <s v="Lakshmi"/>
    <s v="Mittal"/>
    <x v="77"/>
    <n v="119.62"/>
    <s v="$2,827,113,184,696 "/>
    <n v="81.3"/>
    <n v="25.5"/>
    <n v="30.6"/>
    <n v="66834405"/>
  </r>
  <r>
    <n v="94"/>
    <x v="90"/>
    <x v="1"/>
    <s v="Greenwich"/>
    <x v="28"/>
    <x v="3"/>
    <b v="1"/>
    <s v="M"/>
    <s v="Steve"/>
    <s v="Cohen"/>
    <x v="78"/>
    <n v="117.24"/>
    <s v="$21,427,700,000,000 "/>
    <n v="78.5"/>
    <n v="9.6"/>
    <n v="36.6"/>
    <n v="328239523"/>
  </r>
  <r>
    <n v="94"/>
    <x v="91"/>
    <x v="1"/>
    <s v="Indian Creek"/>
    <x v="37"/>
    <x v="3"/>
    <b v="1"/>
    <s v="M"/>
    <s v="Carl"/>
    <s v="Icahn"/>
    <x v="78"/>
    <n v="117.24"/>
    <s v="$21,427,700,000,000 "/>
    <n v="78.5"/>
    <n v="9.6"/>
    <n v="36.6"/>
    <n v="328239523"/>
  </r>
  <r>
    <n v="94"/>
    <x v="92"/>
    <x v="3"/>
    <s v="Hisar"/>
    <x v="70"/>
    <x v="11"/>
    <b v="0"/>
    <s v="F"/>
    <s v="Savitri"/>
    <s v="Jindal"/>
    <x v="78"/>
    <n v="180.44"/>
    <s v="$2,611,000,000,000 "/>
    <n v="69.400000000000006"/>
    <n v="11.2"/>
    <n v="49.7"/>
    <n v="1366417754"/>
  </r>
  <r>
    <n v="97"/>
    <x v="93"/>
    <x v="1"/>
    <s v="Newport Beach"/>
    <x v="71"/>
    <x v="15"/>
    <b v="1"/>
    <s v="M"/>
    <s v="Donald"/>
    <s v="Bren"/>
    <x v="79"/>
    <n v="117.24"/>
    <s v="$21,427,700,000,000 "/>
    <n v="78.5"/>
    <n v="9.6"/>
    <n v="36.6"/>
    <n v="328239523"/>
  </r>
  <r>
    <n v="97"/>
    <x v="94"/>
    <x v="1"/>
    <s v="Eau Claire"/>
    <x v="72"/>
    <x v="0"/>
    <b v="1"/>
    <s v="M"/>
    <s v="John"/>
    <s v="Menard"/>
    <x v="79"/>
    <n v="117.24"/>
    <s v="$21,427,700,000,000 "/>
    <n v="78.5"/>
    <n v="9.6"/>
    <n v="36.6"/>
    <n v="328239523"/>
  </r>
  <r>
    <n v="99"/>
    <x v="95"/>
    <x v="1"/>
    <s v="New York"/>
    <x v="73"/>
    <x v="4"/>
    <b v="0"/>
    <s v="M"/>
    <s v="Rupert"/>
    <s v="Murdoch"/>
    <x v="80"/>
    <n v="117.24"/>
    <s v="$21,427,700,000,000 "/>
    <n v="78.5"/>
    <n v="9.6"/>
    <n v="36.6"/>
    <n v="328239523"/>
  </r>
  <r>
    <n v="100"/>
    <x v="96"/>
    <x v="8"/>
    <s v="Crans-Montana"/>
    <x v="74"/>
    <x v="3"/>
    <b v="0"/>
    <s v="F"/>
    <s v="Vicky"/>
    <s v="Safra"/>
    <x v="81"/>
    <n v="99.55"/>
    <s v="$703,082,435,360 "/>
    <n v="83.6"/>
    <n v="10.1"/>
    <n v="28.8"/>
    <n v="8574832"/>
  </r>
  <r>
    <n v="101"/>
    <x v="97"/>
    <x v="7"/>
    <s v="Mulheim an der Ruhr"/>
    <x v="75"/>
    <x v="0"/>
    <b v="0"/>
    <s v="M"/>
    <s v="Theo"/>
    <s v="Albrecht"/>
    <x v="82"/>
    <n v="112.85"/>
    <s v="$3,845,630,030,824 "/>
    <n v="80.900000000000006"/>
    <n v="11.5"/>
    <n v="48.8"/>
    <n v="83132799"/>
  </r>
  <r>
    <n v="101"/>
    <x v="98"/>
    <x v="18"/>
    <s v="Prague"/>
    <x v="76"/>
    <x v="3"/>
    <b v="0"/>
    <s v="F"/>
    <s v="Renata"/>
    <s v="Kellnerova"/>
    <x v="82"/>
    <n v="116.48"/>
    <s v="$246,489,245,495 "/>
    <n v="79"/>
    <n v="14.9"/>
    <n v="46.1"/>
    <n v="10669709"/>
  </r>
  <r>
    <n v="103"/>
    <x v="99"/>
    <x v="5"/>
    <s v="Shenzhen"/>
    <x v="77"/>
    <x v="13"/>
    <b v="1"/>
    <s v="M"/>
    <s v="Xiting"/>
    <s v="Li"/>
    <x v="83"/>
    <n v="125.08"/>
    <s v="$19,910,000,000,000 "/>
    <n v="77"/>
    <n v="9.4"/>
    <n v="59.2"/>
    <n v="1397715000"/>
  </r>
  <r>
    <n v="104"/>
    <x v="100"/>
    <x v="19"/>
    <s v="Stockholm"/>
    <x v="78"/>
    <x v="0"/>
    <b v="0"/>
    <s v="M"/>
    <s v="Stefan"/>
    <s v="Persson"/>
    <x v="84"/>
    <n v="110.51"/>
    <s v="$530,832,908,738 "/>
    <n v="82.5"/>
    <n v="27.9"/>
    <n v="49.1"/>
    <n v="10285453"/>
  </r>
  <r>
    <n v="104"/>
    <x v="101"/>
    <x v="1"/>
    <s v="Atherton"/>
    <x v="10"/>
    <x v="2"/>
    <b v="1"/>
    <s v="M"/>
    <s v="Eric"/>
    <s v="Schmidt"/>
    <x v="84"/>
    <n v="117.24"/>
    <s v="$21,427,700,000,000 "/>
    <n v="78.5"/>
    <n v="9.6"/>
    <n v="36.6"/>
    <n v="328239523"/>
  </r>
  <r>
    <n v="106"/>
    <x v="102"/>
    <x v="8"/>
    <s v="Geneva"/>
    <x v="28"/>
    <x v="3"/>
    <b v="1"/>
    <s v="M"/>
    <s v="Michael"/>
    <s v="Platt"/>
    <x v="85"/>
    <n v="99.55"/>
    <s v="$703,082,435,360 "/>
    <n v="83.6"/>
    <n v="10.1"/>
    <n v="28.8"/>
    <n v="8574832"/>
  </r>
  <r>
    <n v="107"/>
    <x v="103"/>
    <x v="5"/>
    <s v="Foshan"/>
    <x v="79"/>
    <x v="7"/>
    <b v="1"/>
    <s v="M"/>
    <s v="Kang"/>
    <s v="Pang"/>
    <x v="86"/>
    <n v="125.08"/>
    <s v="$19,910,000,000,000 "/>
    <n v="77"/>
    <n v="9.4"/>
    <n v="59.2"/>
    <n v="1397715000"/>
  </r>
  <r>
    <n v="108"/>
    <x v="104"/>
    <x v="8"/>
    <s v="Zurich"/>
    <x v="80"/>
    <x v="7"/>
    <b v="1"/>
    <s v="M"/>
    <s v="Jorge Paulo"/>
    <s v="Lemann"/>
    <x v="87"/>
    <n v="99.55"/>
    <s v="$703,082,435,360 "/>
    <n v="83.6"/>
    <n v="10.1"/>
    <n v="28.8"/>
    <n v="8574832"/>
  </r>
  <r>
    <n v="112"/>
    <x v="105"/>
    <x v="3"/>
    <s v="Mumbai"/>
    <x v="81"/>
    <x v="13"/>
    <b v="1"/>
    <s v="M"/>
    <s v="Dilip"/>
    <s v="Shanghvi"/>
    <x v="88"/>
    <n v="180.44"/>
    <s v="$2,611,000,000,000 "/>
    <n v="69.400000000000006"/>
    <n v="11.2"/>
    <n v="49.7"/>
    <n v="1366417754"/>
  </r>
  <r>
    <n v="113"/>
    <x v="106"/>
    <x v="1"/>
    <s v="San Jose"/>
    <x v="82"/>
    <x v="2"/>
    <b v="1"/>
    <s v="M"/>
    <s v="Robert"/>
    <s v="Pera"/>
    <x v="89"/>
    <n v="117.24"/>
    <s v="$21,427,700,000,000 "/>
    <n v="78.5"/>
    <n v="9.6"/>
    <n v="36.6"/>
    <n v="328239523"/>
  </r>
  <r>
    <n v="114"/>
    <x v="107"/>
    <x v="3"/>
    <s v="Mumbai"/>
    <x v="83"/>
    <x v="0"/>
    <b v="1"/>
    <s v="M"/>
    <s v="Radhakishan"/>
    <s v="Damani"/>
    <x v="90"/>
    <n v="180.44"/>
    <s v="$2,611,000,000,000 "/>
    <n v="69.400000000000006"/>
    <n v="11.2"/>
    <n v="49.7"/>
    <n v="1366417754"/>
  </r>
  <r>
    <n v="115"/>
    <x v="108"/>
    <x v="5"/>
    <s v="Ningde"/>
    <x v="30"/>
    <x v="1"/>
    <b v="1"/>
    <s v="M"/>
    <s v="Shilin"/>
    <s v="Huang"/>
    <x v="91"/>
    <n v="125.08"/>
    <s v="$19,910,000,000,000 "/>
    <n v="77"/>
    <n v="9.4"/>
    <n v="59.2"/>
    <n v="1397715000"/>
  </r>
  <r>
    <n v="116"/>
    <x v="109"/>
    <x v="20"/>
    <s v="Bangkok"/>
    <x v="8"/>
    <x v="6"/>
    <b v="0"/>
    <s v="M"/>
    <s v="Dhanin"/>
    <s v="Chearavanont"/>
    <x v="92"/>
    <n v="113.27"/>
    <s v="$543,649,976,166 "/>
    <n v="76.900000000000006"/>
    <n v="14.9"/>
    <n v="29.5"/>
    <n v="69625582"/>
  </r>
  <r>
    <n v="116"/>
    <x v="110"/>
    <x v="1"/>
    <s v="Oklahoma City"/>
    <x v="21"/>
    <x v="0"/>
    <b v="1"/>
    <s v="M"/>
    <s v="David"/>
    <s v="Green"/>
    <x v="92"/>
    <n v="117.24"/>
    <s v="$21,427,700,000,000 "/>
    <n v="78.5"/>
    <n v="9.6"/>
    <n v="36.6"/>
    <n v="328239523"/>
  </r>
  <r>
    <n v="118"/>
    <x v="111"/>
    <x v="20"/>
    <s v="Bangkok"/>
    <x v="84"/>
    <x v="7"/>
    <b v="1"/>
    <s v="M"/>
    <s v="Charoen"/>
    <s v="Sirivadhanabhakdi"/>
    <x v="93"/>
    <n v="113.27"/>
    <s v="$543,649,976,166 "/>
    <n v="76.900000000000006"/>
    <n v="14.9"/>
    <n v="29.5"/>
    <n v="69625582"/>
  </r>
  <r>
    <n v="119"/>
    <x v="112"/>
    <x v="12"/>
    <s v="London"/>
    <x v="85"/>
    <x v="7"/>
    <b v="0"/>
    <s v="F"/>
    <s v="Charlene"/>
    <s v="de Carvalho-Heineken"/>
    <x v="94"/>
    <n v="119.62"/>
    <s v="$2,827,113,184,696 "/>
    <n v="81.3"/>
    <n v="25.5"/>
    <n v="30.6"/>
    <n v="66834405"/>
  </r>
  <r>
    <n v="120"/>
    <x v="113"/>
    <x v="5"/>
    <s v="Shenzhen"/>
    <x v="77"/>
    <x v="13"/>
    <b v="1"/>
    <s v="M"/>
    <s v="Hang"/>
    <s v="Xu"/>
    <x v="95"/>
    <n v="125.08"/>
    <s v="$19,910,000,000,000 "/>
    <n v="77"/>
    <n v="9.4"/>
    <n v="59.2"/>
    <n v="1397715000"/>
  </r>
  <r>
    <n v="121"/>
    <x v="114"/>
    <x v="5"/>
    <s v="Baoding"/>
    <x v="63"/>
    <x v="1"/>
    <b v="1"/>
    <s v="M"/>
    <s v="Jianjun"/>
    <s v="Wei"/>
    <x v="96"/>
    <n v="125.08"/>
    <s v="$19,910,000,000,000 "/>
    <n v="77"/>
    <n v="9.4"/>
    <n v="59.2"/>
    <n v="1397715000"/>
  </r>
  <r>
    <n v="123"/>
    <x v="115"/>
    <x v="21"/>
    <s v="Singapore"/>
    <x v="86"/>
    <x v="10"/>
    <b v="1"/>
    <s v="M"/>
    <s v="Cheng Liang"/>
    <s v="Goh"/>
    <x v="97"/>
    <n v="114.41"/>
    <s v="$372,062,527,489 "/>
    <n v="83.1"/>
    <n v="13.1"/>
    <n v="21"/>
    <n v="5703569"/>
  </r>
  <r>
    <n v="124"/>
    <x v="116"/>
    <x v="3"/>
    <s v="Mumbai"/>
    <x v="87"/>
    <x v="6"/>
    <b v="0"/>
    <s v="M"/>
    <s v="Kumar"/>
    <s v="Birla"/>
    <x v="98"/>
    <n v="180.44"/>
    <s v="$2,611,000,000,000 "/>
    <n v="69.400000000000006"/>
    <n v="11.2"/>
    <n v="49.7"/>
    <n v="1366417754"/>
  </r>
  <r>
    <n v="124"/>
    <x v="117"/>
    <x v="22"/>
    <s v="Lagos"/>
    <x v="88"/>
    <x v="10"/>
    <b v="1"/>
    <s v="M"/>
    <s v="Aliko"/>
    <s v="Dangote"/>
    <x v="98"/>
    <n v="267.51"/>
    <s v="$448,120,428,859 "/>
    <n v="54.3"/>
    <n v="1.5"/>
    <n v="34.799999999999997"/>
    <n v="200963599"/>
  </r>
  <r>
    <n v="127"/>
    <x v="118"/>
    <x v="12"/>
    <s v="London"/>
    <x v="23"/>
    <x v="6"/>
    <b v="0"/>
    <s v="M"/>
    <s v="Idan"/>
    <s v="Ofer"/>
    <x v="99"/>
    <n v="119.62"/>
    <s v="$2,827,113,184,696 "/>
    <n v="81.3"/>
    <n v="25.5"/>
    <n v="30.6"/>
    <n v="66834405"/>
  </r>
  <r>
    <n v="128"/>
    <x v="119"/>
    <x v="5"/>
    <s v="Changsha"/>
    <x v="62"/>
    <x v="13"/>
    <b v="1"/>
    <s v="M"/>
    <s v="Bang"/>
    <s v="Chen"/>
    <x v="100"/>
    <n v="125.08"/>
    <s v="$19,910,000,000,000 "/>
    <n v="77"/>
    <n v="9.4"/>
    <n v="59.2"/>
    <n v="1397715000"/>
  </r>
  <r>
    <n v="130"/>
    <x v="120"/>
    <x v="12"/>
    <s v="London"/>
    <x v="23"/>
    <x v="8"/>
    <b v="1"/>
    <s v="M"/>
    <s v="John"/>
    <s v="Fredriksen"/>
    <x v="101"/>
    <n v="119.62"/>
    <s v="$2,827,113,184,696 "/>
    <n v="81.3"/>
    <n v="25.5"/>
    <n v="30.6"/>
    <n v="66834405"/>
  </r>
  <r>
    <n v="130"/>
    <x v="121"/>
    <x v="1"/>
    <s v="Afton"/>
    <x v="89"/>
    <x v="16"/>
    <b v="1"/>
    <s v="F"/>
    <s v="Diane"/>
    <s v="Hendricks"/>
    <x v="101"/>
    <n v="117.24"/>
    <s v="$21,427,700,000,000 "/>
    <n v="78.5"/>
    <n v="9.6"/>
    <n v="36.6"/>
    <n v="328239523"/>
  </r>
  <r>
    <n v="130"/>
    <x v="122"/>
    <x v="1"/>
    <s v="Atherton"/>
    <x v="90"/>
    <x v="2"/>
    <b v="1"/>
    <s v="M"/>
    <s v="Jan"/>
    <s v="Koum"/>
    <x v="101"/>
    <n v="117.24"/>
    <s v="$21,427,700,000,000 "/>
    <n v="78.5"/>
    <n v="9.6"/>
    <n v="36.6"/>
    <n v="328239523"/>
  </r>
  <r>
    <n v="133"/>
    <x v="123"/>
    <x v="1"/>
    <s v="Dallas"/>
    <x v="91"/>
    <x v="17"/>
    <b v="1"/>
    <s v="M"/>
    <s v="Jerry"/>
    <s v="Jones"/>
    <x v="102"/>
    <n v="117.24"/>
    <s v="$21,427,700,000,000 "/>
    <n v="78.5"/>
    <n v="9.6"/>
    <n v="36.6"/>
    <n v="328239523"/>
  </r>
  <r>
    <n v="133"/>
    <x v="124"/>
    <x v="1"/>
    <s v="Tulsa"/>
    <x v="92"/>
    <x v="12"/>
    <b v="0"/>
    <s v="M"/>
    <s v="George"/>
    <s v="Kaiser"/>
    <x v="102"/>
    <n v="117.24"/>
    <s v="$21,427,700,000,000 "/>
    <n v="78.5"/>
    <n v="9.6"/>
    <n v="36.6"/>
    <n v="328239523"/>
  </r>
  <r>
    <n v="136"/>
    <x v="125"/>
    <x v="5"/>
    <s v="Guangzhou"/>
    <x v="93"/>
    <x v="1"/>
    <b v="1"/>
    <s v="M"/>
    <s v="Xiangyang"/>
    <s v="Lu"/>
    <x v="103"/>
    <n v="125.08"/>
    <s v="$19,910,000,000,000 "/>
    <n v="77"/>
    <n v="9.4"/>
    <n v="59.2"/>
    <n v="1397715000"/>
  </r>
  <r>
    <n v="137"/>
    <x v="126"/>
    <x v="13"/>
    <s v="Sydney"/>
    <x v="71"/>
    <x v="15"/>
    <b v="1"/>
    <s v="M"/>
    <s v="Harry"/>
    <s v="Triguboff"/>
    <x v="104"/>
    <n v="119.8"/>
    <s v="$1,392,680,589,329 "/>
    <n v="82.7"/>
    <n v="23"/>
    <n v="47.4"/>
    <n v="25766605"/>
  </r>
  <r>
    <n v="138"/>
    <x v="127"/>
    <x v="3"/>
    <s v="Mumbai"/>
    <x v="74"/>
    <x v="3"/>
    <b v="1"/>
    <s v="M"/>
    <s v="Uday"/>
    <s v="Kotak"/>
    <x v="105"/>
    <n v="180.44"/>
    <s v="$2,611,000,000,000 "/>
    <n v="69.400000000000006"/>
    <n v="11.2"/>
    <n v="49.7"/>
    <n v="1366417754"/>
  </r>
  <r>
    <n v="138"/>
    <x v="128"/>
    <x v="1"/>
    <s v="Electra"/>
    <x v="94"/>
    <x v="17"/>
    <b v="1"/>
    <s v="M"/>
    <s v="Stanley"/>
    <s v="Kroenke"/>
    <x v="105"/>
    <n v="117.24"/>
    <s v="$21,427,700,000,000 "/>
    <n v="78.5"/>
    <n v="9.6"/>
    <n v="36.6"/>
    <n v="328239523"/>
  </r>
  <r>
    <n v="140"/>
    <x v="129"/>
    <x v="12"/>
    <s v="London"/>
    <x v="95"/>
    <x v="12"/>
    <b v="1"/>
    <s v="M"/>
    <s v="Mikhail"/>
    <s v="Fridman"/>
    <x v="106"/>
    <n v="119.62"/>
    <s v="$2,827,113,184,696 "/>
    <n v="81.3"/>
    <n v="25.5"/>
    <n v="30.6"/>
    <n v="66834405"/>
  </r>
  <r>
    <n v="141"/>
    <x v="130"/>
    <x v="20"/>
    <s v="Bangkok"/>
    <x v="96"/>
    <x v="12"/>
    <b v="1"/>
    <s v="M"/>
    <s v="Sarath"/>
    <s v="Ratanavadi"/>
    <x v="107"/>
    <n v="113.27"/>
    <s v="$543,649,976,166 "/>
    <n v="76.900000000000006"/>
    <n v="14.9"/>
    <n v="29.5"/>
    <n v="69625582"/>
  </r>
  <r>
    <n v="142"/>
    <x v="131"/>
    <x v="5"/>
    <s v="Yinchuan"/>
    <x v="42"/>
    <x v="11"/>
    <b v="1"/>
    <s v="M"/>
    <s v="Yanbao"/>
    <s v="Dang"/>
    <x v="108"/>
    <n v="125.08"/>
    <s v="$19,910,000,000,000 "/>
    <n v="77"/>
    <n v="9.4"/>
    <n v="59.2"/>
    <n v="1397715000"/>
  </r>
  <r>
    <n v="142"/>
    <x v="132"/>
    <x v="5"/>
    <s v="Chongqing"/>
    <x v="50"/>
    <x v="13"/>
    <b v="1"/>
    <s v="M"/>
    <s v="Rensheng"/>
    <s v="Jiang"/>
    <x v="108"/>
    <n v="125.08"/>
    <s v="$19,910,000,000,000 "/>
    <n v="77"/>
    <n v="9.4"/>
    <n v="59.2"/>
    <n v="1397715000"/>
  </r>
  <r>
    <n v="144"/>
    <x v="133"/>
    <x v="1"/>
    <s v="Naples"/>
    <x v="97"/>
    <x v="1"/>
    <b v="1"/>
    <s v="M"/>
    <s v="Shahid"/>
    <s v="Khan"/>
    <x v="109"/>
    <n v="117.24"/>
    <s v="$21,427,700,000,000 "/>
    <n v="78.5"/>
    <n v="9.6"/>
    <n v="36.6"/>
    <n v="328239523"/>
  </r>
  <r>
    <n v="145"/>
    <x v="134"/>
    <x v="1"/>
    <s v="Palo Alto"/>
    <x v="98"/>
    <x v="2"/>
    <b v="0"/>
    <s v="F"/>
    <s v="Laurene"/>
    <s v="Powell Jobs"/>
    <x v="110"/>
    <n v="117.24"/>
    <s v="$21,427,700,000,000 "/>
    <n v="78.5"/>
    <n v="9.6"/>
    <n v="36.6"/>
    <n v="328239523"/>
  </r>
  <r>
    <n v="147"/>
    <x v="135"/>
    <x v="1"/>
    <s v="New York"/>
    <x v="71"/>
    <x v="15"/>
    <b v="1"/>
    <s v="M"/>
    <s v="Stephen"/>
    <s v="Ross"/>
    <x v="111"/>
    <n v="117.24"/>
    <s v="$21,427,700,000,000 "/>
    <n v="78.5"/>
    <n v="9.6"/>
    <n v="36.6"/>
    <n v="328239523"/>
  </r>
  <r>
    <n v="148"/>
    <x v="136"/>
    <x v="15"/>
    <s v="Dubai"/>
    <x v="99"/>
    <x v="2"/>
    <b v="1"/>
    <s v="M"/>
    <s v="Pavel"/>
    <s v="Durov"/>
    <x v="112"/>
    <n v="114.52"/>
    <s v="$421,142,267,938 "/>
    <n v="77.8"/>
    <n v="0.1"/>
    <n v="15.9"/>
    <n v="9770529"/>
  </r>
  <r>
    <n v="148"/>
    <x v="137"/>
    <x v="7"/>
    <s v="Tegernsee"/>
    <x v="81"/>
    <x v="13"/>
    <b v="1"/>
    <s v="M"/>
    <s v="Andreas"/>
    <s v="Struengmann"/>
    <x v="112"/>
    <n v="112.85"/>
    <s v="$3,845,630,030,824 "/>
    <n v="80.900000000000006"/>
    <n v="11.5"/>
    <n v="48.8"/>
    <n v="83132799"/>
  </r>
  <r>
    <n v="148"/>
    <x v="138"/>
    <x v="7"/>
    <s v="Tegernsee"/>
    <x v="81"/>
    <x v="13"/>
    <b v="1"/>
    <s v="M"/>
    <s v="Thomas"/>
    <s v="Struengmann"/>
    <x v="112"/>
    <n v="112.85"/>
    <s v="$3,845,630,030,824 "/>
    <n v="80.900000000000006"/>
    <n v="11.5"/>
    <n v="48.8"/>
    <n v="83132799"/>
  </r>
  <r>
    <n v="151"/>
    <x v="139"/>
    <x v="5"/>
    <s v="Chengdu"/>
    <x v="100"/>
    <x v="7"/>
    <b v="1"/>
    <s v="M"/>
    <s v="Hanyuan"/>
    <s v="Liu"/>
    <x v="113"/>
    <n v="125.08"/>
    <s v="$19,910,000,000,000 "/>
    <n v="77"/>
    <n v="9.4"/>
    <n v="59.2"/>
    <n v="1397715000"/>
  </r>
  <r>
    <n v="151"/>
    <x v="140"/>
    <x v="1"/>
    <s v="Bryn Mawr"/>
    <x v="101"/>
    <x v="0"/>
    <b v="1"/>
    <s v="M"/>
    <s v="Michael"/>
    <s v="Rubin"/>
    <x v="113"/>
    <n v="117.24"/>
    <s v="$21,427,700,000,000 "/>
    <n v="78.5"/>
    <n v="9.6"/>
    <n v="36.6"/>
    <n v="328239523"/>
  </r>
  <r>
    <n v="153"/>
    <x v="141"/>
    <x v="1"/>
    <s v="New York"/>
    <x v="28"/>
    <x v="3"/>
    <b v="1"/>
    <s v="M"/>
    <s v="Israel"/>
    <s v="Englander"/>
    <x v="114"/>
    <n v="117.24"/>
    <s v="$21,427,700,000,000 "/>
    <n v="78.5"/>
    <n v="9.6"/>
    <n v="36.6"/>
    <n v="328239523"/>
  </r>
  <r>
    <n v="153"/>
    <x v="142"/>
    <x v="23"/>
    <s v="Herzliya"/>
    <x v="102"/>
    <x v="10"/>
    <b v="1"/>
    <s v="M"/>
    <s v="Viatcheslav"/>
    <s v="Kantor"/>
    <x v="114"/>
    <n v="108.15"/>
    <s v="$395,098,666,122 "/>
    <n v="82.8"/>
    <n v="23.1"/>
    <n v="25.3"/>
    <n v="9053300"/>
  </r>
  <r>
    <n v="153"/>
    <x v="143"/>
    <x v="13"/>
    <s v="Melbourne"/>
    <x v="103"/>
    <x v="10"/>
    <b v="0"/>
    <s v="M"/>
    <s v="Anthony"/>
    <s v="Pratt"/>
    <x v="114"/>
    <n v="119.8"/>
    <s v="$1,392,680,589,329 "/>
    <n v="82.7"/>
    <n v="23"/>
    <n v="47.4"/>
    <n v="25766605"/>
  </r>
  <r>
    <n v="153"/>
    <x v="144"/>
    <x v="8"/>
    <s v="Frauenfeld"/>
    <x v="37"/>
    <x v="3"/>
    <b v="1"/>
    <s v="M"/>
    <s v="Mikhail"/>
    <s v="Prokhorov"/>
    <x v="114"/>
    <n v="99.55"/>
    <s v="$703,082,435,360 "/>
    <n v="83.6"/>
    <n v="10.1"/>
    <n v="28.8"/>
    <n v="8574832"/>
  </r>
  <r>
    <n v="157"/>
    <x v="145"/>
    <x v="24"/>
    <s v="Milan"/>
    <x v="22"/>
    <x v="0"/>
    <b v="1"/>
    <s v="M"/>
    <s v="Giorgio"/>
    <s v="Armani"/>
    <x v="115"/>
    <n v="110.62"/>
    <s v="$2,001,244,392,042 "/>
    <n v="82.9"/>
    <n v="24.3"/>
    <n v="59.1"/>
    <n v="60297396"/>
  </r>
  <r>
    <n v="157"/>
    <x v="146"/>
    <x v="25"/>
    <s v="Cape Town"/>
    <x v="22"/>
    <x v="0"/>
    <b v="0"/>
    <s v="M"/>
    <s v="Johann"/>
    <s v="Rupert"/>
    <x v="115"/>
    <n v="158.93"/>
    <s v="$351,431,649,241 "/>
    <n v="63.9"/>
    <n v="27.5"/>
    <n v="29.2"/>
    <n v="58558270"/>
  </r>
  <r>
    <n v="159"/>
    <x v="147"/>
    <x v="5"/>
    <s v="Shenzhen"/>
    <x v="26"/>
    <x v="2"/>
    <b v="1"/>
    <s v="M"/>
    <s v="Zhidong"/>
    <s v="Zhang"/>
    <x v="116"/>
    <n v="125.08"/>
    <s v="$19,910,000,000,000 "/>
    <n v="77"/>
    <n v="9.4"/>
    <n v="59.2"/>
    <n v="1397715000"/>
  </r>
  <r>
    <n v="161"/>
    <x v="148"/>
    <x v="1"/>
    <s v="Denver"/>
    <x v="104"/>
    <x v="3"/>
    <b v="0"/>
    <s v="M"/>
    <s v="Philip"/>
    <s v="Anschutz"/>
    <x v="117"/>
    <n v="117.24"/>
    <s v="$21,427,700,000,000 "/>
    <n v="78.5"/>
    <n v="9.6"/>
    <n v="36.6"/>
    <n v="328239523"/>
  </r>
  <r>
    <n v="161"/>
    <x v="149"/>
    <x v="1"/>
    <s v="Oklahoma City"/>
    <x v="105"/>
    <x v="0"/>
    <b v="1"/>
    <s v="F"/>
    <s v="Judy"/>
    <s v="Love"/>
    <x v="117"/>
    <n v="117.24"/>
    <s v="$21,427,700,000,000 "/>
    <n v="78.5"/>
    <n v="9.6"/>
    <n v="36.6"/>
    <n v="328239523"/>
  </r>
  <r>
    <n v="161"/>
    <x v="150"/>
    <x v="2"/>
    <s v="Mexico City"/>
    <x v="106"/>
    <x v="0"/>
    <b v="0"/>
    <s v="M"/>
    <s v="Ricardo"/>
    <s v="Salinas Pliego"/>
    <x v="117"/>
    <n v="141.54"/>
    <s v="$1,258,286,717,125 "/>
    <n v="75"/>
    <n v="13.1"/>
    <n v="55.1"/>
    <n v="126014024"/>
  </r>
  <r>
    <n v="164"/>
    <x v="151"/>
    <x v="1"/>
    <s v="New York"/>
    <x v="16"/>
    <x v="4"/>
    <b v="0"/>
    <s v="M"/>
    <s v="Donald"/>
    <s v="Newhouse"/>
    <x v="118"/>
    <n v="117.24"/>
    <s v="$21,427,700,000,000 "/>
    <n v="78.5"/>
    <n v="9.6"/>
    <n v="36.6"/>
    <n v="328239523"/>
  </r>
  <r>
    <n v="165"/>
    <x v="152"/>
    <x v="1"/>
    <s v="Brookline"/>
    <x v="107"/>
    <x v="17"/>
    <b v="1"/>
    <s v="M"/>
    <s v="Robert"/>
    <s v="Kraft"/>
    <x v="119"/>
    <n v="117.24"/>
    <s v="$21,427,700,000,000 "/>
    <n v="78.5"/>
    <n v="9.6"/>
    <n v="36.6"/>
    <n v="328239523"/>
  </r>
  <r>
    <n v="165"/>
    <x v="153"/>
    <x v="26"/>
    <s v="Sao Paulo"/>
    <x v="80"/>
    <x v="7"/>
    <b v="1"/>
    <s v="M"/>
    <s v="Marcel Herrmann"/>
    <s v="Telles"/>
    <x v="119"/>
    <n v="167.4"/>
    <s v="$1,839,758,040,766 "/>
    <n v="75.7"/>
    <n v="14.2"/>
    <n v="65.099999999999994"/>
    <n v="212559417"/>
  </r>
  <r>
    <n v="167"/>
    <x v="154"/>
    <x v="16"/>
    <s v="Moscow"/>
    <x v="108"/>
    <x v="3"/>
    <b v="1"/>
    <s v="M"/>
    <s v="Suleiman"/>
    <s v="Kerimov &amp; family"/>
    <x v="120"/>
    <n v="180.75"/>
    <s v="$1,699,876,578,871 "/>
    <n v="72.7"/>
    <n v="11.4"/>
    <n v="46.2"/>
    <n v="144373535"/>
  </r>
  <r>
    <n v="167"/>
    <x v="155"/>
    <x v="5"/>
    <s v="Guangzhou"/>
    <x v="34"/>
    <x v="0"/>
    <b v="1"/>
    <s v="M"/>
    <s v="Sky"/>
    <s v="Xu"/>
    <x v="120"/>
    <n v="125.08"/>
    <s v="$19,910,000,000,000 "/>
    <n v="77"/>
    <n v="9.4"/>
    <n v="59.2"/>
    <n v="1397715000"/>
  </r>
  <r>
    <n v="167"/>
    <x v="156"/>
    <x v="15"/>
    <s v="Dubai"/>
    <x v="109"/>
    <x v="3"/>
    <b v="1"/>
    <s v="M"/>
    <s v="Changpeng"/>
    <s v="Zhao"/>
    <x v="120"/>
    <n v="114.52"/>
    <s v="$421,142,267,938 "/>
    <n v="77.8"/>
    <n v="0.1"/>
    <n v="15.9"/>
    <n v="9770529"/>
  </r>
  <r>
    <n v="170"/>
    <x v="157"/>
    <x v="1"/>
    <s v="Dallas"/>
    <x v="110"/>
    <x v="3"/>
    <b v="1"/>
    <s v="M"/>
    <s v="Andrew"/>
    <s v="Beal"/>
    <x v="121"/>
    <n v="117.24"/>
    <s v="$21,427,700,000,000 "/>
    <n v="78.5"/>
    <n v="9.6"/>
    <n v="36.6"/>
    <n v="328239523"/>
  </r>
  <r>
    <n v="171"/>
    <x v="158"/>
    <x v="13"/>
    <s v="Sydney"/>
    <x v="111"/>
    <x v="2"/>
    <b v="1"/>
    <s v="M"/>
    <s v="Mike"/>
    <s v="Cannon-Brookes"/>
    <x v="122"/>
    <n v="119.8"/>
    <s v="$1,392,680,589,329 "/>
    <n v="82.7"/>
    <n v="23"/>
    <n v="47.4"/>
    <n v="25766605"/>
  </r>
  <r>
    <n v="171"/>
    <x v="159"/>
    <x v="1"/>
    <s v="Bloomington"/>
    <x v="77"/>
    <x v="13"/>
    <b v="0"/>
    <s v="M"/>
    <s v="Carl"/>
    <s v="Cook"/>
    <x v="122"/>
    <n v="117.24"/>
    <s v="$21,427,700,000,000 "/>
    <n v="78.5"/>
    <n v="9.6"/>
    <n v="36.6"/>
    <n v="328239523"/>
  </r>
  <r>
    <n v="171"/>
    <x v="160"/>
    <x v="1"/>
    <s v="Incline Village"/>
    <x v="112"/>
    <x v="2"/>
    <b v="1"/>
    <s v="M"/>
    <s v="David"/>
    <s v="Duffield"/>
    <x v="122"/>
    <n v="117.24"/>
    <s v="$21,427,700,000,000 "/>
    <n v="78.5"/>
    <n v="9.6"/>
    <n v="36.6"/>
    <n v="328239523"/>
  </r>
  <r>
    <n v="171"/>
    <x v="161"/>
    <x v="1"/>
    <s v="Houston"/>
    <x v="61"/>
    <x v="12"/>
    <b v="1"/>
    <s v="M"/>
    <s v="Jeffery"/>
    <s v="Hildebrand"/>
    <x v="122"/>
    <n v="117.24"/>
    <s v="$21,427,700,000,000 "/>
    <n v="78.5"/>
    <n v="9.6"/>
    <n v="36.6"/>
    <n v="328239523"/>
  </r>
  <r>
    <n v="171"/>
    <x v="162"/>
    <x v="16"/>
    <s v="Magnitogorsk"/>
    <x v="70"/>
    <x v="10"/>
    <b v="1"/>
    <s v="M"/>
    <s v="Viktor"/>
    <s v="Rashnikov"/>
    <x v="122"/>
    <n v="180.75"/>
    <s v="$1,699,876,578,871 "/>
    <n v="72.7"/>
    <n v="11.4"/>
    <n v="46.2"/>
    <n v="144373535"/>
  </r>
  <r>
    <n v="171"/>
    <x v="163"/>
    <x v="21"/>
    <s v="Singapore"/>
    <x v="13"/>
    <x v="2"/>
    <b v="1"/>
    <s v="M"/>
    <s v="Eduardo"/>
    <s v="Saverin"/>
    <x v="122"/>
    <n v="114.41"/>
    <s v="$372,062,527,489 "/>
    <n v="83.1"/>
    <n v="13.1"/>
    <n v="21"/>
    <n v="5703569"/>
  </r>
  <r>
    <n v="171"/>
    <x v="164"/>
    <x v="7"/>
    <s v="Herzogenaurach"/>
    <x v="97"/>
    <x v="1"/>
    <b v="0"/>
    <s v="M"/>
    <s v="Georg"/>
    <s v="Schaeffler"/>
    <x v="122"/>
    <n v="112.85"/>
    <s v="$3,845,630,030,824 "/>
    <n v="80.900000000000006"/>
    <n v="11.5"/>
    <n v="48.8"/>
    <n v="83132799"/>
  </r>
  <r>
    <n v="171"/>
    <x v="165"/>
    <x v="1"/>
    <s v="Jackson"/>
    <x v="15"/>
    <x v="0"/>
    <b v="0"/>
    <s v="F"/>
    <s v="Christy"/>
    <s v="Walton"/>
    <x v="122"/>
    <n v="117.24"/>
    <s v="$21,427,700,000,000 "/>
    <n v="78.5"/>
    <n v="9.6"/>
    <n v="36.6"/>
    <n v="328239523"/>
  </r>
  <r>
    <n v="179"/>
    <x v="166"/>
    <x v="13"/>
    <s v="Sydney"/>
    <x v="111"/>
    <x v="2"/>
    <b v="1"/>
    <s v="M"/>
    <s v="Scott"/>
    <s v="Farquhar"/>
    <x v="123"/>
    <n v="119.8"/>
    <s v="$1,392,680,589,329 "/>
    <n v="82.7"/>
    <n v="23"/>
    <n v="47.4"/>
    <n v="25766605"/>
  </r>
  <r>
    <n v="179"/>
    <x v="167"/>
    <x v="27"/>
    <s v="Kuala Lumpur"/>
    <x v="113"/>
    <x v="6"/>
    <b v="0"/>
    <s v="M"/>
    <s v="Leng Chan"/>
    <s v="Quek"/>
    <x v="123"/>
    <n v="121.46"/>
    <s v="$364,701,517,788 "/>
    <n v="76"/>
    <n v="12"/>
    <n v="38.700000000000003"/>
    <n v="32447385"/>
  </r>
  <r>
    <n v="179"/>
    <x v="168"/>
    <x v="5"/>
    <s v="Beijing"/>
    <x v="71"/>
    <x v="15"/>
    <b v="1"/>
    <s v="F"/>
    <s v="Yajun"/>
    <s v="Wu"/>
    <x v="123"/>
    <n v="125.08"/>
    <s v="$19,910,000,000,000 "/>
    <n v="77"/>
    <n v="9.4"/>
    <n v="59.2"/>
    <n v="1397715000"/>
  </r>
  <r>
    <n v="182"/>
    <x v="169"/>
    <x v="1"/>
    <s v="Midland"/>
    <x v="61"/>
    <x v="12"/>
    <b v="1"/>
    <s v="M"/>
    <s v="Autry"/>
    <s v="Stephens"/>
    <x v="124"/>
    <n v="117.24"/>
    <s v="$21,427,700,000,000 "/>
    <n v="78.5"/>
    <n v="9.6"/>
    <n v="36.6"/>
    <n v="328239523"/>
  </r>
  <r>
    <n v="183"/>
    <x v="170"/>
    <x v="5"/>
    <s v="Shanghai"/>
    <x v="8"/>
    <x v="14"/>
    <b v="1"/>
    <s v="M"/>
    <s v="Yongxing"/>
    <s v="Liu"/>
    <x v="125"/>
    <n v="125.08"/>
    <s v="$19,910,000,000,000 "/>
    <n v="77"/>
    <n v="9.4"/>
    <n v="59.2"/>
    <n v="1397715000"/>
  </r>
  <r>
    <n v="184"/>
    <x v="171"/>
    <x v="15"/>
    <s v="Dubai"/>
    <x v="18"/>
    <x v="6"/>
    <b v="1"/>
    <s v="M"/>
    <s v="Vinod"/>
    <s v="Adani"/>
    <x v="126"/>
    <n v="114.52"/>
    <s v="$421,142,267,938 "/>
    <n v="77.8"/>
    <n v="0.1"/>
    <n v="15.9"/>
    <n v="9770529"/>
  </r>
  <r>
    <n v="184"/>
    <x v="172"/>
    <x v="8"/>
    <s v="Martigny"/>
    <x v="114"/>
    <x v="0"/>
    <b v="0"/>
    <s v="M"/>
    <s v="Nicolas"/>
    <s v="Puech"/>
    <x v="126"/>
    <n v="99.55"/>
    <s v="$703,082,435,360 "/>
    <n v="83.6"/>
    <n v="10.1"/>
    <n v="28.8"/>
    <n v="8574832"/>
  </r>
  <r>
    <n v="184"/>
    <x v="173"/>
    <x v="0"/>
    <s v="Marseille"/>
    <x v="23"/>
    <x v="8"/>
    <b v="0"/>
    <s v="M"/>
    <s v="Jacques"/>
    <s v="Saadé"/>
    <x v="126"/>
    <n v="110.05"/>
    <s v="$2,715,518,274,227 "/>
    <n v="82.5"/>
    <n v="24.2"/>
    <n v="60.7"/>
    <n v="67059887"/>
  </r>
  <r>
    <n v="184"/>
    <x v="174"/>
    <x v="0"/>
    <s v="Marseille"/>
    <x v="23"/>
    <x v="8"/>
    <b v="0"/>
    <s v="M"/>
    <s v="Rodolphe"/>
    <s v="Saadé"/>
    <x v="126"/>
    <n v="110.05"/>
    <s v="$2,715,518,274,227 "/>
    <n v="82.5"/>
    <n v="24.2"/>
    <n v="60.7"/>
    <n v="67059887"/>
  </r>
  <r>
    <n v="184"/>
    <x v="175"/>
    <x v="0"/>
    <s v="Marseille"/>
    <x v="23"/>
    <x v="8"/>
    <b v="0"/>
    <s v="F"/>
    <s v="Tanya"/>
    <s v="Saadé Zeenny"/>
    <x v="126"/>
    <n v="110.05"/>
    <s v="$2,715,518,274,227 "/>
    <n v="82.5"/>
    <n v="24.2"/>
    <n v="60.7"/>
    <n v="67059887"/>
  </r>
  <r>
    <n v="184"/>
    <x v="176"/>
    <x v="19"/>
    <s v="Stockholm"/>
    <x v="37"/>
    <x v="3"/>
    <b v="1"/>
    <s v="M"/>
    <s v="Melker"/>
    <s v="Schorling"/>
    <x v="126"/>
    <n v="110.51"/>
    <s v="$530,832,908,738 "/>
    <n v="82.5"/>
    <n v="27.9"/>
    <n v="49.1"/>
    <n v="10285453"/>
  </r>
  <r>
    <n v="190"/>
    <x v="177"/>
    <x v="16"/>
    <s v="Moscow"/>
    <x v="115"/>
    <x v="10"/>
    <b v="1"/>
    <s v="M"/>
    <s v="Andrei"/>
    <s v="Guriev &amp; family"/>
    <x v="127"/>
    <n v="180.75"/>
    <s v="$1,699,876,578,871 "/>
    <n v="72.7"/>
    <n v="11.4"/>
    <n v="46.2"/>
    <n v="144373535"/>
  </r>
  <r>
    <n v="190"/>
    <x v="178"/>
    <x v="28"/>
    <s v="Seoul"/>
    <x v="116"/>
    <x v="3"/>
    <b v="1"/>
    <s v="M"/>
    <s v="Michael"/>
    <s v="Kim"/>
    <x v="127"/>
    <n v="115.16"/>
    <s v="$2,029,000,000,000 "/>
    <n v="82.6"/>
    <n v="15.6"/>
    <n v="33.200000000000003"/>
    <n v="51709098"/>
  </r>
  <r>
    <n v="190"/>
    <x v="179"/>
    <x v="5"/>
    <s v="Beijing"/>
    <x v="117"/>
    <x v="2"/>
    <b v="1"/>
    <s v="M"/>
    <s v="Jun"/>
    <s v="Lei"/>
    <x v="127"/>
    <n v="125.08"/>
    <s v="$19,910,000,000,000 "/>
    <n v="77"/>
    <n v="9.4"/>
    <n v="59.2"/>
    <n v="1397715000"/>
  </r>
  <r>
    <n v="190"/>
    <x v="180"/>
    <x v="7"/>
    <s v="Haiger"/>
    <x v="103"/>
    <x v="10"/>
    <b v="0"/>
    <s v="M"/>
    <s v="Friedhelm"/>
    <s v="Loh"/>
    <x v="127"/>
    <n v="112.85"/>
    <s v="$3,845,630,030,824 "/>
    <n v="80.900000000000006"/>
    <n v="11.5"/>
    <n v="48.8"/>
    <n v="83132799"/>
  </r>
  <r>
    <n v="190"/>
    <x v="181"/>
    <x v="5"/>
    <s v="Lianyungang"/>
    <x v="81"/>
    <x v="13"/>
    <b v="1"/>
    <s v="M"/>
    <s v="Piaoyang"/>
    <s v="Sun"/>
    <x v="127"/>
    <n v="125.08"/>
    <s v="$19,910,000,000,000 "/>
    <n v="77"/>
    <n v="9.4"/>
    <n v="59.2"/>
    <n v="1397715000"/>
  </r>
  <r>
    <n v="195"/>
    <x v="182"/>
    <x v="1"/>
    <s v="Keene"/>
    <x v="118"/>
    <x v="2"/>
    <b v="0"/>
    <s v="M"/>
    <s v="Rick"/>
    <s v="Cohen"/>
    <x v="128"/>
    <n v="117.24"/>
    <s v="$21,427,700,000,000 "/>
    <n v="78.5"/>
    <n v="9.6"/>
    <n v="36.6"/>
    <n v="328239523"/>
  </r>
  <r>
    <n v="195"/>
    <x v="183"/>
    <x v="5"/>
    <s v="Xingtai"/>
    <x v="119"/>
    <x v="12"/>
    <b v="1"/>
    <s v="M"/>
    <s v="Baofang"/>
    <s v="Jin"/>
    <x v="128"/>
    <n v="125.08"/>
    <s v="$19,910,000,000,000 "/>
    <n v="77"/>
    <n v="9.4"/>
    <n v="59.2"/>
    <n v="1397715000"/>
  </r>
  <r>
    <n v="195"/>
    <x v="184"/>
    <x v="5"/>
    <s v="Ningbo"/>
    <x v="49"/>
    <x v="10"/>
    <b v="1"/>
    <s v="M"/>
    <s v="Liguo"/>
    <s v="Luo"/>
    <x v="128"/>
    <n v="125.08"/>
    <s v="$19,910,000,000,000 "/>
    <n v="77"/>
    <n v="9.4"/>
    <n v="59.2"/>
    <n v="1397715000"/>
  </r>
  <r>
    <n v="195"/>
    <x v="185"/>
    <x v="1"/>
    <s v="Los Angeles"/>
    <x v="25"/>
    <x v="7"/>
    <b v="0"/>
    <s v="F"/>
    <s v="Marijke"/>
    <s v="Mars"/>
    <x v="128"/>
    <n v="117.24"/>
    <s v="$21,427,700,000,000 "/>
    <n v="78.5"/>
    <n v="9.6"/>
    <n v="36.6"/>
    <n v="328239523"/>
  </r>
  <r>
    <n v="195"/>
    <x v="186"/>
    <x v="1"/>
    <s v="Alexandria"/>
    <x v="25"/>
    <x v="7"/>
    <b v="0"/>
    <s v="F"/>
    <s v="Pamela"/>
    <s v="Mars"/>
    <x v="128"/>
    <n v="117.24"/>
    <s v="$21,427,700,000,000 "/>
    <n v="78.5"/>
    <n v="9.6"/>
    <n v="36.6"/>
    <n v="328239523"/>
  </r>
  <r>
    <n v="195"/>
    <x v="187"/>
    <x v="1"/>
    <s v="New York"/>
    <x v="25"/>
    <x v="7"/>
    <b v="0"/>
    <s v="F"/>
    <s v="Valerie"/>
    <s v="Mars"/>
    <x v="128"/>
    <n v="117.24"/>
    <s v="$21,427,700,000,000 "/>
    <n v="78.5"/>
    <n v="9.6"/>
    <n v="36.6"/>
    <n v="328239523"/>
  </r>
  <r>
    <n v="195"/>
    <x v="188"/>
    <x v="1"/>
    <s v="Philadelphia"/>
    <x v="25"/>
    <x v="7"/>
    <b v="0"/>
    <s v="F"/>
    <s v="Victoria"/>
    <s v="Mars"/>
    <x v="128"/>
    <n v="117.24"/>
    <s v="$21,427,700,000,000 "/>
    <n v="78.5"/>
    <n v="9.6"/>
    <n v="36.6"/>
    <n v="328239523"/>
  </r>
  <r>
    <n v="202"/>
    <x v="189"/>
    <x v="0"/>
    <s v="Paris"/>
    <x v="37"/>
    <x v="3"/>
    <b v="0"/>
    <s v="M"/>
    <s v="Vincent"/>
    <s v="Bolloré"/>
    <x v="129"/>
    <n v="110.05"/>
    <s v="$2,715,518,274,227 "/>
    <n v="82.5"/>
    <n v="24.2"/>
    <n v="60.7"/>
    <n v="67059887"/>
  </r>
  <r>
    <n v="202"/>
    <x v="190"/>
    <x v="6"/>
    <s v="Vancouver"/>
    <x v="8"/>
    <x v="6"/>
    <b v="1"/>
    <s v="M"/>
    <s v="Jim"/>
    <s v="Pattison"/>
    <x v="129"/>
    <n v="116.76"/>
    <s v="$1,736,425,629,520 "/>
    <n v="81.900000000000006"/>
    <n v="12.8"/>
    <n v="24.5"/>
    <n v="36991981"/>
  </r>
  <r>
    <n v="204"/>
    <x v="191"/>
    <x v="8"/>
    <s v="Gstaad"/>
    <x v="120"/>
    <x v="13"/>
    <b v="0"/>
    <s v="M"/>
    <s v="Ernesto"/>
    <s v="Bertarelli"/>
    <x v="130"/>
    <n v="99.55"/>
    <s v="$703,082,435,360 "/>
    <n v="83.6"/>
    <n v="10.1"/>
    <n v="28.8"/>
    <n v="8574832"/>
  </r>
  <r>
    <n v="204"/>
    <x v="192"/>
    <x v="5"/>
    <s v="Beijing"/>
    <x v="121"/>
    <x v="2"/>
    <b v="1"/>
    <s v="M"/>
    <s v="Xing"/>
    <s v="Wang"/>
    <x v="130"/>
    <n v="125.08"/>
    <s v="$19,910,000,000,000 "/>
    <n v="77"/>
    <n v="9.4"/>
    <n v="59.2"/>
    <n v="1397715000"/>
  </r>
  <r>
    <n v="206"/>
    <x v="193"/>
    <x v="1"/>
    <s v="San Francisco"/>
    <x v="122"/>
    <x v="2"/>
    <b v="1"/>
    <s v="M"/>
    <s v="Brian"/>
    <s v="Chesky"/>
    <x v="131"/>
    <n v="117.24"/>
    <s v="$21,427,700,000,000 "/>
    <n v="78.5"/>
    <n v="9.6"/>
    <n v="36.6"/>
    <n v="328239523"/>
  </r>
  <r>
    <n v="206"/>
    <x v="194"/>
    <x v="12"/>
    <s v="Gloucestershire"/>
    <x v="123"/>
    <x v="10"/>
    <b v="1"/>
    <s v="M"/>
    <s v="James"/>
    <s v="Dyson"/>
    <x v="131"/>
    <n v="119.62"/>
    <s v="$2,827,113,184,696 "/>
    <n v="81.3"/>
    <n v="25.5"/>
    <n v="30.6"/>
    <n v="66834405"/>
  </r>
  <r>
    <n v="208"/>
    <x v="195"/>
    <x v="16"/>
    <s v="Moscow"/>
    <x v="60"/>
    <x v="6"/>
    <b v="1"/>
    <s v="M"/>
    <s v="Roman"/>
    <s v="Abramovich"/>
    <x v="132"/>
    <n v="180.75"/>
    <s v="$1,699,876,578,871 "/>
    <n v="72.7"/>
    <n v="11.4"/>
    <n v="46.2"/>
    <n v="144373535"/>
  </r>
  <r>
    <n v="208"/>
    <x v="196"/>
    <x v="19"/>
    <s v="Stockholm"/>
    <x v="8"/>
    <x v="6"/>
    <b v="0"/>
    <s v="F"/>
    <s v="Antonia"/>
    <s v="Ax:son Johnson"/>
    <x v="132"/>
    <n v="110.51"/>
    <s v="$530,832,908,738 "/>
    <n v="82.5"/>
    <n v="27.9"/>
    <n v="49.1"/>
    <n v="10285453"/>
  </r>
  <r>
    <n v="208"/>
    <x v="197"/>
    <x v="18"/>
    <s v="Prague"/>
    <x v="124"/>
    <x v="12"/>
    <b v="1"/>
    <s v="M"/>
    <s v="Daniel"/>
    <s v="Kretinsky"/>
    <x v="132"/>
    <n v="116.48"/>
    <s v="$246,489,245,495 "/>
    <n v="79"/>
    <n v="14.9"/>
    <n v="46.1"/>
    <n v="10669709"/>
  </r>
  <r>
    <n v="208"/>
    <x v="198"/>
    <x v="1"/>
    <s v="Elizabeth"/>
    <x v="125"/>
    <x v="4"/>
    <b v="1"/>
    <s v="M"/>
    <s v="John"/>
    <s v="Malone"/>
    <x v="132"/>
    <n v="117.24"/>
    <s v="$21,427,700,000,000 "/>
    <n v="78.5"/>
    <n v="9.6"/>
    <n v="36.6"/>
    <n v="328239523"/>
  </r>
  <r>
    <n v="208"/>
    <x v="199"/>
    <x v="3"/>
    <s v="Bangalore"/>
    <x v="41"/>
    <x v="2"/>
    <b v="0"/>
    <s v="M"/>
    <s v="Azim"/>
    <s v="Premji"/>
    <x v="132"/>
    <n v="180.44"/>
    <s v="$2,611,000,000,000 "/>
    <n v="69.400000000000006"/>
    <n v="11.2"/>
    <n v="49.7"/>
    <n v="1366417754"/>
  </r>
  <r>
    <n v="208"/>
    <x v="200"/>
    <x v="1"/>
    <s v="Woodside"/>
    <x v="43"/>
    <x v="3"/>
    <b v="1"/>
    <s v="M"/>
    <s v="Charles"/>
    <s v="Schwab"/>
    <x v="132"/>
    <n v="117.24"/>
    <s v="$21,427,700,000,000 "/>
    <n v="78.5"/>
    <n v="9.6"/>
    <n v="36.6"/>
    <n v="328239523"/>
  </r>
  <r>
    <n v="208"/>
    <x v="201"/>
    <x v="1"/>
    <s v="Beverly Hills"/>
    <x v="126"/>
    <x v="0"/>
    <b v="1"/>
    <s v="M"/>
    <s v="Eric"/>
    <s v="Smidt"/>
    <x v="132"/>
    <n v="117.24"/>
    <s v="$21,427,700,000,000 "/>
    <n v="78.5"/>
    <n v="9.6"/>
    <n v="36.6"/>
    <n v="328239523"/>
  </r>
  <r>
    <n v="215"/>
    <x v="202"/>
    <x v="1"/>
    <s v="Palo Alto"/>
    <x v="10"/>
    <x v="2"/>
    <b v="1"/>
    <s v="M"/>
    <s v="David"/>
    <s v="Cheriton"/>
    <x v="133"/>
    <n v="117.24"/>
    <s v="$21,427,700,000,000 "/>
    <n v="78.5"/>
    <n v="9.6"/>
    <n v="36.6"/>
    <n v="328239523"/>
  </r>
  <r>
    <n v="215"/>
    <x v="203"/>
    <x v="8"/>
    <s v="Ruschlikon"/>
    <x v="39"/>
    <x v="11"/>
    <b v="1"/>
    <s v="M"/>
    <s v="Ivan"/>
    <s v="Glasenberg"/>
    <x v="133"/>
    <n v="99.55"/>
    <s v="$703,082,435,360 "/>
    <n v="83.6"/>
    <n v="10.1"/>
    <n v="28.8"/>
    <n v="8574832"/>
  </r>
  <r>
    <n v="215"/>
    <x v="204"/>
    <x v="7"/>
    <s v="Hamburg"/>
    <x v="71"/>
    <x v="15"/>
    <b v="0"/>
    <s v="M"/>
    <s v="Alexander"/>
    <s v="Otto"/>
    <x v="133"/>
    <n v="112.85"/>
    <s v="$3,845,630,030,824 "/>
    <n v="80.900000000000006"/>
    <n v="11.5"/>
    <n v="48.8"/>
    <n v="83132799"/>
  </r>
  <r>
    <n v="215"/>
    <x v="205"/>
    <x v="6"/>
    <s v="Vancouver"/>
    <x v="127"/>
    <x v="7"/>
    <b v="1"/>
    <s v="M"/>
    <s v="Anthony"/>
    <s v="von Mandl"/>
    <x v="133"/>
    <n v="116.76"/>
    <s v="$1,736,425,629,520 "/>
    <n v="81.900000000000006"/>
    <n v="12.8"/>
    <n v="24.5"/>
    <n v="36991981"/>
  </r>
  <r>
    <n v="215"/>
    <x v="206"/>
    <x v="5"/>
    <s v="Changzhou"/>
    <x v="128"/>
    <x v="10"/>
    <b v="1"/>
    <s v="M"/>
    <s v="Liping"/>
    <s v="Wang"/>
    <x v="133"/>
    <n v="125.08"/>
    <s v="$19,910,000,000,000 "/>
    <n v="77"/>
    <n v="9.4"/>
    <n v="59.2"/>
    <n v="1397715000"/>
  </r>
  <r>
    <n v="220"/>
    <x v="207"/>
    <x v="12"/>
    <s v="London"/>
    <x v="129"/>
    <x v="7"/>
    <b v="0"/>
    <s v="M"/>
    <s v="Finn"/>
    <s v="Rausing"/>
    <x v="134"/>
    <n v="119.62"/>
    <s v="$2,827,113,184,696 "/>
    <n v="81.3"/>
    <n v="25.5"/>
    <n v="30.6"/>
    <n v="66834405"/>
  </r>
  <r>
    <n v="220"/>
    <x v="208"/>
    <x v="12"/>
    <s v="Surrey"/>
    <x v="129"/>
    <x v="7"/>
    <b v="0"/>
    <s v="M"/>
    <s v="Jorn"/>
    <s v="Rausing"/>
    <x v="134"/>
    <n v="119.62"/>
    <s v="$2,827,113,184,696 "/>
    <n v="81.3"/>
    <n v="25.5"/>
    <n v="30.6"/>
    <n v="66834405"/>
  </r>
  <r>
    <n v="220"/>
    <x v="209"/>
    <x v="12"/>
    <s v="Newmarket"/>
    <x v="129"/>
    <x v="7"/>
    <b v="0"/>
    <s v="F"/>
    <s v="Kirsten"/>
    <s v="Rausing"/>
    <x v="134"/>
    <n v="119.62"/>
    <s v="$2,827,113,184,696 "/>
    <n v="81.3"/>
    <n v="25.5"/>
    <n v="30.6"/>
    <n v="66834405"/>
  </r>
  <r>
    <n v="223"/>
    <x v="210"/>
    <x v="16"/>
    <s v="Moscow region"/>
    <x v="130"/>
    <x v="0"/>
    <b v="1"/>
    <s v="F"/>
    <s v="Tatyana"/>
    <s v="Bakalchuk"/>
    <x v="135"/>
    <n v="180.75"/>
    <s v="$1,699,876,578,871 "/>
    <n v="72.7"/>
    <n v="11.4"/>
    <n v="46.2"/>
    <n v="144373535"/>
  </r>
  <r>
    <n v="223"/>
    <x v="211"/>
    <x v="1"/>
    <s v="Woodside"/>
    <x v="131"/>
    <x v="2"/>
    <b v="1"/>
    <s v="M"/>
    <s v="John"/>
    <s v="Doerr"/>
    <x v="135"/>
    <n v="117.24"/>
    <s v="$21,427,700,000,000 "/>
    <n v="78.5"/>
    <n v="9.6"/>
    <n v="36.6"/>
    <n v="328239523"/>
  </r>
  <r>
    <n v="223"/>
    <x v="212"/>
    <x v="5"/>
    <s v="Beijing"/>
    <x v="34"/>
    <x v="2"/>
    <b v="1"/>
    <s v="M"/>
    <s v="Richard"/>
    <s v="Liu"/>
    <x v="135"/>
    <n v="125.08"/>
    <s v="$19,910,000,000,000 "/>
    <n v="77"/>
    <n v="9.4"/>
    <n v="59.2"/>
    <n v="1397715000"/>
  </r>
  <r>
    <n v="223"/>
    <x v="213"/>
    <x v="1"/>
    <s v="San Francisco"/>
    <x v="13"/>
    <x v="2"/>
    <b v="1"/>
    <s v="M"/>
    <s v="Dustin"/>
    <s v="Moskovitz"/>
    <x v="135"/>
    <n v="117.24"/>
    <s v="$21,427,700,000,000 "/>
    <n v="78.5"/>
    <n v="9.6"/>
    <n v="36.6"/>
    <n v="328239523"/>
  </r>
  <r>
    <n v="223"/>
    <x v="214"/>
    <x v="1"/>
    <s v="Honolulu"/>
    <x v="132"/>
    <x v="2"/>
    <b v="1"/>
    <s v="M"/>
    <s v="Pierre"/>
    <s v="Omidyar"/>
    <x v="135"/>
    <n v="117.24"/>
    <s v="$21,427,700,000,000 "/>
    <n v="78.5"/>
    <n v="9.6"/>
    <n v="36.6"/>
    <n v="328239523"/>
  </r>
  <r>
    <n v="223"/>
    <x v="215"/>
    <x v="5"/>
    <s v="Ningde"/>
    <x v="30"/>
    <x v="12"/>
    <b v="1"/>
    <s v="M"/>
    <s v="Zhenhua"/>
    <s v="Pei"/>
    <x v="135"/>
    <n v="125.08"/>
    <s v="$19,910,000,000,000 "/>
    <n v="77"/>
    <n v="9.4"/>
    <n v="59.2"/>
    <n v="1397715000"/>
  </r>
  <r>
    <n v="223"/>
    <x v="216"/>
    <x v="12"/>
    <s v="London"/>
    <x v="61"/>
    <x v="12"/>
    <b v="0"/>
    <s v="F"/>
    <s v="Carrie"/>
    <s v="Perrodo"/>
    <x v="135"/>
    <n v="119.62"/>
    <s v="$2,827,113,184,696 "/>
    <n v="81.3"/>
    <n v="25.5"/>
    <n v="30.6"/>
    <n v="66834405"/>
  </r>
  <r>
    <n v="230"/>
    <x v="217"/>
    <x v="5"/>
    <s v="Wujiang"/>
    <x v="49"/>
    <x v="10"/>
    <b v="1"/>
    <s v="M"/>
    <s v="Jianhua"/>
    <s v="Chen"/>
    <x v="136"/>
    <n v="125.08"/>
    <s v="$19,910,000,000,000 "/>
    <n v="77"/>
    <n v="9.4"/>
    <n v="59.2"/>
    <n v="1397715000"/>
  </r>
  <r>
    <n v="230"/>
    <x v="218"/>
    <x v="7"/>
    <s v="Hamburg"/>
    <x v="133"/>
    <x v="0"/>
    <b v="0"/>
    <s v="M"/>
    <s v="Michael"/>
    <s v="Otto"/>
    <x v="136"/>
    <n v="112.85"/>
    <s v="$3,845,630,030,824 "/>
    <n v="80.900000000000006"/>
    <n v="11.5"/>
    <n v="48.8"/>
    <n v="83132799"/>
  </r>
  <r>
    <n v="232"/>
    <x v="219"/>
    <x v="1"/>
    <s v="New York"/>
    <x v="116"/>
    <x v="3"/>
    <b v="1"/>
    <s v="M"/>
    <s v="Leon"/>
    <s v="Black"/>
    <x v="137"/>
    <n v="117.24"/>
    <s v="$21,427,700,000,000 "/>
    <n v="78.5"/>
    <n v="9.6"/>
    <n v="36.6"/>
    <n v="328239523"/>
  </r>
  <r>
    <n v="232"/>
    <x v="220"/>
    <x v="29"/>
    <s v="Auckland"/>
    <x v="37"/>
    <x v="3"/>
    <b v="1"/>
    <s v="M"/>
    <s v="Graeme"/>
    <s v="Hart"/>
    <x v="137"/>
    <n v="114.24"/>
    <s v="$206,928,765,544 "/>
    <n v="81.900000000000006"/>
    <n v="29"/>
    <n v="34.6"/>
    <n v="4841000"/>
  </r>
  <r>
    <n v="232"/>
    <x v="221"/>
    <x v="3"/>
    <s v="Delhi"/>
    <x v="134"/>
    <x v="7"/>
    <b v="0"/>
    <s v="M"/>
    <s v="Ravi"/>
    <s v="Jaipuria"/>
    <x v="137"/>
    <n v="180.44"/>
    <s v="$2,611,000,000,000 "/>
    <n v="69.400000000000006"/>
    <n v="11.2"/>
    <n v="49.7"/>
    <n v="1366417754"/>
  </r>
  <r>
    <n v="232"/>
    <x v="222"/>
    <x v="7"/>
    <s v="Heidelberg"/>
    <x v="111"/>
    <x v="2"/>
    <b v="1"/>
    <s v="M"/>
    <s v="Hasso"/>
    <s v="Plattner"/>
    <x v="137"/>
    <n v="112.85"/>
    <s v="$3,845,630,030,824 "/>
    <n v="80.900000000000006"/>
    <n v="11.5"/>
    <n v="48.8"/>
    <n v="83132799"/>
  </r>
  <r>
    <n v="232"/>
    <x v="223"/>
    <x v="8"/>
    <s v="St. Gallen"/>
    <x v="80"/>
    <x v="7"/>
    <b v="1"/>
    <s v="M"/>
    <s v="Carlos Alberto"/>
    <s v="Sicupira"/>
    <x v="137"/>
    <n v="99.55"/>
    <s v="$703,082,435,360 "/>
    <n v="83.6"/>
    <n v="10.1"/>
    <n v="28.8"/>
    <n v="8574832"/>
  </r>
  <r>
    <n v="232"/>
    <x v="224"/>
    <x v="30"/>
    <s v="Manila"/>
    <x v="71"/>
    <x v="15"/>
    <b v="1"/>
    <s v="M"/>
    <s v="Manuel"/>
    <s v="Villar"/>
    <x v="137"/>
    <n v="129.61000000000001"/>
    <s v="$376,795,508,680 "/>
    <n v="71.099999999999994"/>
    <n v="14"/>
    <n v="43.1"/>
    <n v="108116615"/>
  </r>
  <r>
    <n v="232"/>
    <x v="225"/>
    <x v="1"/>
    <s v="Palo Alto"/>
    <x v="10"/>
    <x v="2"/>
    <b v="1"/>
    <s v="M"/>
    <s v="Andreas"/>
    <s v="von Bechtolsheim"/>
    <x v="137"/>
    <n v="117.24"/>
    <s v="$21,427,700,000,000 "/>
    <n v="78.5"/>
    <n v="9.6"/>
    <n v="36.6"/>
    <n v="328239523"/>
  </r>
  <r>
    <n v="239"/>
    <x v="226"/>
    <x v="1"/>
    <s v="New York"/>
    <x v="37"/>
    <x v="3"/>
    <b v="1"/>
    <s v="M"/>
    <s v="Chase"/>
    <s v="Coleman"/>
    <x v="138"/>
    <n v="117.24"/>
    <s v="$21,427,700,000,000 "/>
    <n v="78.5"/>
    <n v="9.6"/>
    <n v="36.6"/>
    <n v="328239523"/>
  </r>
  <r>
    <n v="239"/>
    <x v="227"/>
    <x v="1"/>
    <s v="Electra"/>
    <x v="15"/>
    <x v="0"/>
    <b v="0"/>
    <s v="F"/>
    <s v="Ann Walton"/>
    <s v="Kroenke"/>
    <x v="138"/>
    <n v="117.24"/>
    <s v="$21,427,700,000,000 "/>
    <n v="78.5"/>
    <n v="9.6"/>
    <n v="36.6"/>
    <n v="328239523"/>
  </r>
  <r>
    <n v="239"/>
    <x v="228"/>
    <x v="5"/>
    <s v="Xi'an"/>
    <x v="135"/>
    <x v="10"/>
    <b v="1"/>
    <s v="M"/>
    <s v="Zhenguo"/>
    <s v="Li"/>
    <x v="138"/>
    <n v="125.08"/>
    <s v="$19,910,000,000,000 "/>
    <n v="77"/>
    <n v="9.4"/>
    <n v="59.2"/>
    <n v="1397715000"/>
  </r>
  <r>
    <n v="242"/>
    <x v="229"/>
    <x v="1"/>
    <s v="Atlanta"/>
    <x v="136"/>
    <x v="4"/>
    <b v="0"/>
    <s v="M"/>
    <s v="Jim"/>
    <s v="Kennedy"/>
    <x v="139"/>
    <n v="117.24"/>
    <s v="$21,427,700,000,000 "/>
    <n v="78.5"/>
    <n v="9.6"/>
    <n v="36.6"/>
    <n v="328239523"/>
  </r>
  <r>
    <n v="242"/>
    <x v="230"/>
    <x v="25"/>
    <s v="Johannesburg"/>
    <x v="137"/>
    <x v="11"/>
    <b v="0"/>
    <s v="M"/>
    <s v="Nicky"/>
    <s v="Oppenheimer"/>
    <x v="139"/>
    <n v="158.93"/>
    <s v="$351,431,649,241 "/>
    <n v="63.9"/>
    <n v="27.5"/>
    <n v="29.2"/>
    <n v="58558270"/>
  </r>
  <r>
    <n v="242"/>
    <x v="231"/>
    <x v="13"/>
    <s v="New South Wales"/>
    <x v="136"/>
    <x v="4"/>
    <b v="0"/>
    <s v="F"/>
    <s v="Blair"/>
    <s v="Parry-Okeden"/>
    <x v="139"/>
    <n v="119.8"/>
    <s v="$1,392,680,589,329 "/>
    <n v="82.7"/>
    <n v="23"/>
    <n v="47.4"/>
    <n v="25766605"/>
  </r>
  <r>
    <n v="242"/>
    <x v="232"/>
    <x v="5"/>
    <s v="Binzhou"/>
    <x v="138"/>
    <x v="11"/>
    <b v="0"/>
    <s v="F"/>
    <s v="Shuliang"/>
    <s v="Zheng"/>
    <x v="139"/>
    <n v="125.08"/>
    <s v="$19,910,000,000,000 "/>
    <n v="77"/>
    <n v="9.4"/>
    <n v="59.2"/>
    <n v="1397715000"/>
  </r>
  <r>
    <n v="246"/>
    <x v="233"/>
    <x v="1"/>
    <s v="Springfield"/>
    <x v="139"/>
    <x v="0"/>
    <b v="1"/>
    <s v="M"/>
    <s v="John"/>
    <s v="Morris"/>
    <x v="140"/>
    <n v="117.24"/>
    <s v="$21,427,700,000,000 "/>
    <n v="78.5"/>
    <n v="9.6"/>
    <n v="36.6"/>
    <n v="328239523"/>
  </r>
  <r>
    <n v="249"/>
    <x v="234"/>
    <x v="16"/>
    <s v="Moscow"/>
    <x v="95"/>
    <x v="12"/>
    <b v="1"/>
    <s v="M"/>
    <s v="German"/>
    <s v="Khan"/>
    <x v="141"/>
    <n v="180.75"/>
    <s v="$1,699,876,578,871 "/>
    <n v="72.7"/>
    <n v="11.4"/>
    <n v="46.2"/>
    <n v="144373535"/>
  </r>
  <r>
    <n v="249"/>
    <x v="235"/>
    <x v="22"/>
    <s v="Lagos"/>
    <x v="88"/>
    <x v="6"/>
    <b v="0"/>
    <s v="M"/>
    <s v="Abdulsamad"/>
    <s v="Rabiu"/>
    <x v="141"/>
    <n v="267.51"/>
    <s v="$448,120,428,859 "/>
    <n v="54.3"/>
    <n v="1.5"/>
    <n v="34.799999999999997"/>
    <n v="200963599"/>
  </r>
  <r>
    <n v="249"/>
    <x v="236"/>
    <x v="1"/>
    <s v="Atherton"/>
    <x v="116"/>
    <x v="3"/>
    <b v="1"/>
    <s v="M"/>
    <s v="George"/>
    <s v="Roberts"/>
    <x v="141"/>
    <n v="117.24"/>
    <s v="$21,427,700,000,000 "/>
    <n v="78.5"/>
    <n v="9.6"/>
    <n v="36.6"/>
    <n v="328239523"/>
  </r>
  <r>
    <n v="249"/>
    <x v="237"/>
    <x v="3"/>
    <s v="Delhi"/>
    <x v="71"/>
    <x v="15"/>
    <b v="0"/>
    <s v="M"/>
    <s v="Kushal Pal"/>
    <s v="Singh"/>
    <x v="141"/>
    <n v="180.44"/>
    <s v="$2,611,000,000,000 "/>
    <n v="69.400000000000006"/>
    <n v="11.2"/>
    <n v="49.7"/>
    <n v="1366417754"/>
  </r>
  <r>
    <n v="249"/>
    <x v="238"/>
    <x v="5"/>
    <s v="Beijing"/>
    <x v="71"/>
    <x v="15"/>
    <b v="1"/>
    <s v="M"/>
    <s v="Jianlin"/>
    <s v="Wang"/>
    <x v="141"/>
    <n v="125.08"/>
    <s v="$19,910,000,000,000 "/>
    <n v="77"/>
    <n v="9.4"/>
    <n v="59.2"/>
    <n v="1397715000"/>
  </r>
  <r>
    <n v="249"/>
    <x v="239"/>
    <x v="5"/>
    <s v="Foshan"/>
    <x v="71"/>
    <x v="15"/>
    <b v="0"/>
    <s v="F"/>
    <s v="Huiyan"/>
    <s v="Yang"/>
    <x v="141"/>
    <n v="125.08"/>
    <s v="$19,910,000,000,000 "/>
    <n v="77"/>
    <n v="9.4"/>
    <n v="59.2"/>
    <n v="1397715000"/>
  </r>
  <r>
    <n v="256"/>
    <x v="240"/>
    <x v="0"/>
    <s v="Paris"/>
    <x v="8"/>
    <x v="6"/>
    <b v="0"/>
    <s v="M"/>
    <s v="Laurent"/>
    <s v="Dassault"/>
    <x v="142"/>
    <n v="110.05"/>
    <s v="$2,715,518,274,227 "/>
    <n v="82.5"/>
    <n v="24.2"/>
    <n v="60.7"/>
    <n v="67059887"/>
  </r>
  <r>
    <n v="256"/>
    <x v="241"/>
    <x v="0"/>
    <s v="Paris"/>
    <x v="8"/>
    <x v="6"/>
    <b v="0"/>
    <s v="M"/>
    <s v="Thierry"/>
    <s v="Dassault"/>
    <x v="142"/>
    <n v="110.05"/>
    <s v="$2,715,518,274,227 "/>
    <n v="82.5"/>
    <n v="24.2"/>
    <n v="60.7"/>
    <n v="67059887"/>
  </r>
  <r>
    <n v="256"/>
    <x v="242"/>
    <x v="1"/>
    <s v="Houston"/>
    <x v="140"/>
    <x v="7"/>
    <b v="1"/>
    <s v="M"/>
    <s v="Tilman"/>
    <s v="Fertitta"/>
    <x v="142"/>
    <n v="117.24"/>
    <s v="$21,427,700,000,000 "/>
    <n v="78.5"/>
    <n v="9.6"/>
    <n v="36.6"/>
    <n v="328239523"/>
  </r>
  <r>
    <n v="256"/>
    <x v="243"/>
    <x v="0"/>
    <s v="Paris"/>
    <x v="8"/>
    <x v="6"/>
    <b v="0"/>
    <s v="F"/>
    <s v="Marie-Hélène"/>
    <s v="Habert-Dassault"/>
    <x v="142"/>
    <n v="110.05"/>
    <s v="$2,715,518,274,227 "/>
    <n v="82.5"/>
    <n v="24.2"/>
    <n v="60.7"/>
    <n v="67059887"/>
  </r>
  <r>
    <n v="256"/>
    <x v="244"/>
    <x v="8"/>
    <s v="Verbier"/>
    <x v="141"/>
    <x v="9"/>
    <b v="1"/>
    <s v="M"/>
    <s v="Karel"/>
    <s v="Komarek"/>
    <x v="142"/>
    <n v="99.55"/>
    <s v="$703,082,435,360 "/>
    <n v="83.6"/>
    <n v="10.1"/>
    <n v="28.8"/>
    <n v="8574832"/>
  </r>
  <r>
    <n v="261"/>
    <x v="245"/>
    <x v="1"/>
    <s v="San Francisco"/>
    <x v="122"/>
    <x v="2"/>
    <b v="1"/>
    <s v="M"/>
    <s v="Nathan"/>
    <s v="Blecharczyk"/>
    <x v="143"/>
    <n v="117.24"/>
    <s v="$21,427,700,000,000 "/>
    <n v="78.5"/>
    <n v="9.6"/>
    <n v="36.6"/>
    <n v="328239523"/>
  </r>
  <r>
    <n v="261"/>
    <x v="246"/>
    <x v="16"/>
    <s v="Moscow"/>
    <x v="61"/>
    <x v="12"/>
    <b v="1"/>
    <s v="M"/>
    <s v="Leonid"/>
    <s v="Fedun"/>
    <x v="143"/>
    <n v="180.75"/>
    <s v="$1,699,876,578,871 "/>
    <n v="72.7"/>
    <n v="11.4"/>
    <n v="46.2"/>
    <n v="144373535"/>
  </r>
  <r>
    <n v="261"/>
    <x v="247"/>
    <x v="1"/>
    <s v="Atlanta"/>
    <x v="142"/>
    <x v="0"/>
    <b v="1"/>
    <s v="M"/>
    <s v="Bernard"/>
    <s v="Marcus"/>
    <x v="143"/>
    <n v="117.24"/>
    <s v="$21,427,700,000,000 "/>
    <n v="78.5"/>
    <n v="9.6"/>
    <n v="36.6"/>
    <n v="328239523"/>
  </r>
  <r>
    <n v="261"/>
    <x v="248"/>
    <x v="1"/>
    <s v="Winnetka"/>
    <x v="143"/>
    <x v="3"/>
    <b v="1"/>
    <s v="M"/>
    <s v="Patrick"/>
    <s v="Ryan"/>
    <x v="143"/>
    <n v="117.24"/>
    <s v="$21,427,700,000,000 "/>
    <n v="78.5"/>
    <n v="9.6"/>
    <n v="36.6"/>
    <n v="328239523"/>
  </r>
  <r>
    <n v="261"/>
    <x v="249"/>
    <x v="1"/>
    <s v="Austin"/>
    <x v="116"/>
    <x v="3"/>
    <b v="1"/>
    <s v="M"/>
    <s v="Robert F."/>
    <s v="Smith"/>
    <x v="143"/>
    <n v="117.24"/>
    <s v="$21,427,700,000,000 "/>
    <n v="78.5"/>
    <n v="9.6"/>
    <n v="36.6"/>
    <n v="328239523"/>
  </r>
  <r>
    <n v="261"/>
    <x v="250"/>
    <x v="18"/>
    <s v="Prague"/>
    <x v="144"/>
    <x v="11"/>
    <b v="1"/>
    <s v="M"/>
    <s v="Pavel"/>
    <s v="Tykac"/>
    <x v="143"/>
    <n v="116.48"/>
    <s v="$246,489,245,495 "/>
    <n v="79"/>
    <n v="14.9"/>
    <n v="46.1"/>
    <n v="10669709"/>
  </r>
  <r>
    <n v="268"/>
    <x v="251"/>
    <x v="1"/>
    <s v="Miami Beach"/>
    <x v="116"/>
    <x v="3"/>
    <b v="1"/>
    <s v="M"/>
    <s v="Orlando"/>
    <s v="Bravo"/>
    <x v="144"/>
    <n v="117.24"/>
    <s v="$21,427,700,000,000 "/>
    <n v="78.5"/>
    <n v="9.6"/>
    <n v="36.6"/>
    <n v="328239523"/>
  </r>
  <r>
    <n v="268"/>
    <x v="252"/>
    <x v="5"/>
    <s v="Quanzhou"/>
    <x v="145"/>
    <x v="0"/>
    <b v="1"/>
    <s v="M"/>
    <s v="Shizhong"/>
    <s v="Ding"/>
    <x v="144"/>
    <n v="125.08"/>
    <s v="$19,910,000,000,000 "/>
    <n v="77"/>
    <n v="9.4"/>
    <n v="59.2"/>
    <n v="1397715000"/>
  </r>
  <r>
    <n v="268"/>
    <x v="253"/>
    <x v="1"/>
    <s v="Henderson"/>
    <x v="15"/>
    <x v="0"/>
    <b v="0"/>
    <s v="F"/>
    <s v="Nancy Walton"/>
    <s v="Laurie"/>
    <x v="144"/>
    <n v="117.24"/>
    <s v="$21,427,700,000,000 "/>
    <n v="78.5"/>
    <n v="9.6"/>
    <n v="36.6"/>
    <n v="328239523"/>
  </r>
  <r>
    <n v="268"/>
    <x v="254"/>
    <x v="28"/>
    <s v="Seoul"/>
    <x v="146"/>
    <x v="2"/>
    <b v="0"/>
    <s v="M"/>
    <s v="Jay Y."/>
    <s v="Lee"/>
    <x v="144"/>
    <n v="115.16"/>
    <s v="$2,029,000,000,000 "/>
    <n v="82.6"/>
    <n v="15.6"/>
    <n v="33.200000000000003"/>
    <n v="51709098"/>
  </r>
  <r>
    <n v="268"/>
    <x v="255"/>
    <x v="1"/>
    <s v="New York"/>
    <x v="116"/>
    <x v="3"/>
    <b v="1"/>
    <s v="M"/>
    <s v="Ramzi"/>
    <s v="Musallam"/>
    <x v="144"/>
    <n v="117.24"/>
    <s v="$21,427,700,000,000 "/>
    <n v="78.5"/>
    <n v="9.6"/>
    <n v="36.6"/>
    <n v="328239523"/>
  </r>
  <r>
    <n v="268"/>
    <x v="256"/>
    <x v="1"/>
    <s v="New York"/>
    <x v="28"/>
    <x v="3"/>
    <b v="1"/>
    <s v="M"/>
    <s v="David"/>
    <s v="Shaw"/>
    <x v="144"/>
    <n v="117.24"/>
    <s v="$21,427,700,000,000 "/>
    <n v="78.5"/>
    <n v="9.6"/>
    <n v="36.6"/>
    <n v="328239523"/>
  </r>
  <r>
    <n v="268"/>
    <x v="257"/>
    <x v="16"/>
    <s v="Moscow"/>
    <x v="147"/>
    <x v="11"/>
    <b v="1"/>
    <s v="M"/>
    <s v="Andrei"/>
    <s v="Skoch &amp; family"/>
    <x v="144"/>
    <n v="180.75"/>
    <s v="$1,699,876,578,871 "/>
    <n v="72.7"/>
    <n v="11.4"/>
    <n v="46.2"/>
    <n v="144373535"/>
  </r>
  <r>
    <n v="268"/>
    <x v="258"/>
    <x v="10"/>
    <s v="Vienna"/>
    <x v="148"/>
    <x v="6"/>
    <b v="1"/>
    <s v="M"/>
    <s v="Georg"/>
    <s v="Stumpf"/>
    <x v="144"/>
    <n v="118.06"/>
    <s v="$446,314,739,528 "/>
    <n v="81.599999999999994"/>
    <n v="25.4"/>
    <n v="51.4"/>
    <n v="8877067"/>
  </r>
  <r>
    <n v="276"/>
    <x v="259"/>
    <x v="1"/>
    <s v="Saddle River"/>
    <x v="7"/>
    <x v="5"/>
    <b v="1"/>
    <s v="M"/>
    <s v="Rocco"/>
    <s v="Commisso"/>
    <x v="145"/>
    <n v="117.24"/>
    <s v="$21,427,700,000,000 "/>
    <n v="78.5"/>
    <n v="9.6"/>
    <n v="36.6"/>
    <n v="328239523"/>
  </r>
  <r>
    <n v="276"/>
    <x v="260"/>
    <x v="5"/>
    <s v="Hangzhou"/>
    <x v="149"/>
    <x v="10"/>
    <b v="1"/>
    <s v="M"/>
    <s v="Shuirong"/>
    <s v="Li"/>
    <x v="145"/>
    <n v="125.08"/>
    <s v="$19,910,000,000,000 "/>
    <n v="77"/>
    <n v="9.4"/>
    <n v="59.2"/>
    <n v="1397715000"/>
  </r>
  <r>
    <n v="276"/>
    <x v="261"/>
    <x v="5"/>
    <s v="Shanghai"/>
    <x v="150"/>
    <x v="2"/>
    <b v="1"/>
    <s v="M"/>
    <s v="Shi"/>
    <s v="Qi"/>
    <x v="145"/>
    <n v="125.08"/>
    <s v="$19,910,000,000,000 "/>
    <n v="77"/>
    <n v="9.4"/>
    <n v="59.2"/>
    <n v="1397715000"/>
  </r>
  <r>
    <n v="276"/>
    <x v="262"/>
    <x v="5"/>
    <s v="Guangzhou"/>
    <x v="151"/>
    <x v="10"/>
    <b v="1"/>
    <s v="M"/>
    <s v="Liangsong"/>
    <s v="Yao"/>
    <x v="145"/>
    <n v="125.08"/>
    <s v="$19,910,000,000,000 "/>
    <n v="77"/>
    <n v="9.4"/>
    <n v="59.2"/>
    <n v="1397715000"/>
  </r>
  <r>
    <n v="282"/>
    <x v="263"/>
    <x v="0"/>
    <s v="Laval"/>
    <x v="53"/>
    <x v="7"/>
    <b v="0"/>
    <s v="M"/>
    <s v="Jean-Michel"/>
    <s v="Besnier"/>
    <x v="146"/>
    <n v="110.05"/>
    <s v="$2,715,518,274,227 "/>
    <n v="82.5"/>
    <n v="24.2"/>
    <n v="60.7"/>
    <n v="67059887"/>
  </r>
  <r>
    <n v="282"/>
    <x v="264"/>
    <x v="0"/>
    <s v="Laval"/>
    <x v="53"/>
    <x v="7"/>
    <b v="0"/>
    <s v="F"/>
    <s v="Marie"/>
    <s v="Besnier Beauvalot"/>
    <x v="146"/>
    <n v="110.05"/>
    <s v="$2,715,518,274,227 "/>
    <n v="82.5"/>
    <n v="24.2"/>
    <n v="60.7"/>
    <n v="67059887"/>
  </r>
  <r>
    <n v="282"/>
    <x v="265"/>
    <x v="1"/>
    <s v="Beverly Hills"/>
    <x v="152"/>
    <x v="4"/>
    <b v="1"/>
    <s v="M"/>
    <s v="David"/>
    <s v="Geffen"/>
    <x v="146"/>
    <n v="117.24"/>
    <s v="$21,427,700,000,000 "/>
    <n v="78.5"/>
    <n v="9.6"/>
    <n v="36.6"/>
    <n v="328239523"/>
  </r>
  <r>
    <n v="282"/>
    <x v="266"/>
    <x v="5"/>
    <s v="Beijing"/>
    <x v="153"/>
    <x v="2"/>
    <b v="1"/>
    <s v="M"/>
    <s v="Robin"/>
    <s v="Li"/>
    <x v="146"/>
    <n v="125.08"/>
    <s v="$19,910,000,000,000 "/>
    <n v="77"/>
    <n v="9.4"/>
    <n v="59.2"/>
    <n v="1397715000"/>
  </r>
  <r>
    <n v="282"/>
    <x v="267"/>
    <x v="5"/>
    <s v="Chengdu"/>
    <x v="100"/>
    <x v="14"/>
    <b v="1"/>
    <s v="M"/>
    <s v="Yonghao"/>
    <s v="Liu"/>
    <x v="146"/>
    <n v="125.08"/>
    <s v="$19,910,000,000,000 "/>
    <n v="77"/>
    <n v="9.4"/>
    <n v="59.2"/>
    <n v="1397715000"/>
  </r>
  <r>
    <n v="282"/>
    <x v="268"/>
    <x v="1"/>
    <s v="Newport Beach"/>
    <x v="57"/>
    <x v="2"/>
    <b v="1"/>
    <s v="M"/>
    <s v="Henry"/>
    <s v="Samueli"/>
    <x v="146"/>
    <n v="117.24"/>
    <s v="$21,427,700,000,000 "/>
    <n v="78.5"/>
    <n v="9.6"/>
    <n v="36.6"/>
    <n v="328239523"/>
  </r>
  <r>
    <n v="282"/>
    <x v="269"/>
    <x v="1"/>
    <s v="Naples"/>
    <x v="77"/>
    <x v="13"/>
    <b v="1"/>
    <s v="M"/>
    <s v="Reinhold"/>
    <s v="Schmieding"/>
    <x v="146"/>
    <n v="117.24"/>
    <s v="$21,427,700,000,000 "/>
    <n v="78.5"/>
    <n v="9.6"/>
    <n v="36.6"/>
    <n v="328239523"/>
  </r>
  <r>
    <n v="282"/>
    <x v="270"/>
    <x v="31"/>
    <s v="Oslo"/>
    <x v="71"/>
    <x v="15"/>
    <b v="1"/>
    <s v="M"/>
    <s v="Ivar"/>
    <s v="Tollefsen"/>
    <x v="146"/>
    <n v="120.27"/>
    <s v="$403,336,363,636 "/>
    <n v="82.8"/>
    <n v="23.9"/>
    <n v="36.200000000000003"/>
    <n v="5347896"/>
  </r>
  <r>
    <n v="290"/>
    <x v="271"/>
    <x v="5"/>
    <s v="Hefei"/>
    <x v="154"/>
    <x v="12"/>
    <b v="1"/>
    <s v="M"/>
    <s v="Renxian"/>
    <s v="Cao"/>
    <x v="147"/>
    <n v="125.08"/>
    <s v="$19,910,000,000,000 "/>
    <n v="77"/>
    <n v="9.4"/>
    <n v="59.2"/>
    <n v="1397715000"/>
  </r>
  <r>
    <n v="290"/>
    <x v="272"/>
    <x v="3"/>
    <s v="Ahmedabad"/>
    <x v="81"/>
    <x v="13"/>
    <b v="1"/>
    <s v="M"/>
    <s v="Hasmukh"/>
    <s v="Chudgar"/>
    <x v="147"/>
    <n v="180.44"/>
    <s v="$2,611,000,000,000 "/>
    <n v="69.400000000000006"/>
    <n v="11.2"/>
    <n v="49.7"/>
    <n v="1366417754"/>
  </r>
  <r>
    <n v="290"/>
    <x v="273"/>
    <x v="12"/>
    <s v="London"/>
    <x v="49"/>
    <x v="10"/>
    <b v="1"/>
    <s v="M"/>
    <s v="Andrew"/>
    <s v="Currie"/>
    <x v="147"/>
    <n v="119.62"/>
    <s v="$2,827,113,184,696 "/>
    <n v="81.3"/>
    <n v="25.5"/>
    <n v="30.6"/>
    <n v="66834405"/>
  </r>
  <r>
    <n v="290"/>
    <x v="274"/>
    <x v="1"/>
    <s v="Austin"/>
    <x v="122"/>
    <x v="2"/>
    <b v="1"/>
    <s v="M"/>
    <s v="Joe"/>
    <s v="Gebbia"/>
    <x v="147"/>
    <n v="117.24"/>
    <s v="$21,427,700,000,000 "/>
    <n v="78.5"/>
    <n v="9.6"/>
    <n v="36.6"/>
    <n v="328239523"/>
  </r>
  <r>
    <n v="290"/>
    <x v="275"/>
    <x v="21"/>
    <s v="Singapore"/>
    <x v="71"/>
    <x v="15"/>
    <b v="0"/>
    <s v="M"/>
    <s v="Philip"/>
    <s v="Ng"/>
    <x v="147"/>
    <n v="114.41"/>
    <s v="$372,062,527,489 "/>
    <n v="83.1"/>
    <n v="13.1"/>
    <n v="21"/>
    <n v="5703569"/>
  </r>
  <r>
    <n v="290"/>
    <x v="276"/>
    <x v="12"/>
    <s v="London"/>
    <x v="49"/>
    <x v="10"/>
    <b v="1"/>
    <s v="M"/>
    <s v="John"/>
    <s v="Reece"/>
    <x v="147"/>
    <n v="119.62"/>
    <s v="$2,827,113,184,696 "/>
    <n v="81.3"/>
    <n v="25.5"/>
    <n v="30.6"/>
    <n v="66834405"/>
  </r>
  <r>
    <n v="290"/>
    <x v="277"/>
    <x v="1"/>
    <s v="New York"/>
    <x v="71"/>
    <x v="15"/>
    <b v="0"/>
    <s v="M"/>
    <s v="Leonard"/>
    <s v="Stern"/>
    <x v="147"/>
    <n v="117.24"/>
    <s v="$21,427,700,000,000 "/>
    <n v="78.5"/>
    <n v="9.6"/>
    <n v="36.6"/>
    <n v="328239523"/>
  </r>
  <r>
    <n v="290"/>
    <x v="278"/>
    <x v="5"/>
    <s v="Shanghai"/>
    <x v="81"/>
    <x v="13"/>
    <b v="1"/>
    <s v="F"/>
    <s v="Huijuan"/>
    <s v="Zhong"/>
    <x v="147"/>
    <n v="125.08"/>
    <s v="$19,910,000,000,000 "/>
    <n v="77"/>
    <n v="9.4"/>
    <n v="59.2"/>
    <n v="1397715000"/>
  </r>
  <r>
    <n v="299"/>
    <x v="279"/>
    <x v="1"/>
    <s v="Atlanta"/>
    <x v="142"/>
    <x v="17"/>
    <b v="1"/>
    <s v="M"/>
    <s v="Arthur"/>
    <s v="Blank"/>
    <x v="148"/>
    <n v="117.24"/>
    <s v="$21,427,700,000,000 "/>
    <n v="78.5"/>
    <n v="9.6"/>
    <n v="36.6"/>
    <n v="328239523"/>
  </r>
  <r>
    <n v="299"/>
    <x v="280"/>
    <x v="1"/>
    <s v="San Antonio"/>
    <x v="155"/>
    <x v="0"/>
    <b v="0"/>
    <s v="M"/>
    <s v="Charles"/>
    <s v="Butt"/>
    <x v="148"/>
    <n v="117.24"/>
    <s v="$21,427,700,000,000 "/>
    <n v="78.5"/>
    <n v="9.6"/>
    <n v="36.6"/>
    <n v="328239523"/>
  </r>
  <r>
    <n v="299"/>
    <x v="281"/>
    <x v="5"/>
    <s v="Quanzhou"/>
    <x v="145"/>
    <x v="0"/>
    <b v="1"/>
    <s v="M"/>
    <s v="Shijia"/>
    <s v="Ding"/>
    <x v="148"/>
    <n v="125.08"/>
    <s v="$19,910,000,000,000 "/>
    <n v="77"/>
    <n v="9.4"/>
    <n v="59.2"/>
    <n v="1397715000"/>
  </r>
  <r>
    <n v="299"/>
    <x v="282"/>
    <x v="1"/>
    <s v="Palm Beach"/>
    <x v="28"/>
    <x v="3"/>
    <b v="1"/>
    <s v="M"/>
    <s v="Paul Tudor"/>
    <s v="Jones"/>
    <x v="148"/>
    <n v="117.24"/>
    <s v="$21,427,700,000,000 "/>
    <n v="78.5"/>
    <n v="9.6"/>
    <n v="36.6"/>
    <n v="328239523"/>
  </r>
  <r>
    <n v="299"/>
    <x v="283"/>
    <x v="1"/>
    <s v="New York"/>
    <x v="116"/>
    <x v="3"/>
    <b v="1"/>
    <s v="M"/>
    <s v="Henry"/>
    <s v="Kravis"/>
    <x v="148"/>
    <n v="117.24"/>
    <s v="$21,427,700,000,000 "/>
    <n v="78.5"/>
    <n v="9.6"/>
    <n v="36.6"/>
    <n v="328239523"/>
  </r>
  <r>
    <n v="299"/>
    <x v="284"/>
    <x v="21"/>
    <s v="Singapore"/>
    <x v="156"/>
    <x v="7"/>
    <b v="1"/>
    <s v="M"/>
    <s v="Yong"/>
    <s v="Zhang"/>
    <x v="148"/>
    <n v="114.41"/>
    <s v="$372,062,527,489 "/>
    <n v="83.1"/>
    <n v="13.1"/>
    <n v="21"/>
    <n v="5703569"/>
  </r>
  <r>
    <n v="305"/>
    <x v="285"/>
    <x v="1"/>
    <s v="Cary"/>
    <x v="111"/>
    <x v="2"/>
    <b v="1"/>
    <s v="M"/>
    <s v="James"/>
    <s v="Goodnight"/>
    <x v="149"/>
    <n v="117.24"/>
    <s v="$21,427,700,000,000 "/>
    <n v="78.5"/>
    <n v="9.6"/>
    <n v="36.6"/>
    <n v="328239523"/>
  </r>
  <r>
    <n v="305"/>
    <x v="286"/>
    <x v="12"/>
    <s v="London"/>
    <x v="149"/>
    <x v="10"/>
    <b v="0"/>
    <s v="M"/>
    <s v="Sri Prakash"/>
    <s v="Lohia"/>
    <x v="149"/>
    <n v="119.62"/>
    <s v="$2,827,113,184,696 "/>
    <n v="81.3"/>
    <n v="25.5"/>
    <n v="30.6"/>
    <n v="66834405"/>
  </r>
  <r>
    <n v="305"/>
    <x v="287"/>
    <x v="5"/>
    <s v="Ningbo"/>
    <x v="157"/>
    <x v="0"/>
    <b v="1"/>
    <s v="M"/>
    <s v="Jianrong"/>
    <s v="Ma"/>
    <x v="149"/>
    <n v="125.08"/>
    <s v="$19,910,000,000,000 "/>
    <n v="77"/>
    <n v="9.4"/>
    <n v="59.2"/>
    <n v="1397715000"/>
  </r>
  <r>
    <n v="305"/>
    <x v="288"/>
    <x v="21"/>
    <s v="Singapore"/>
    <x v="71"/>
    <x v="15"/>
    <b v="0"/>
    <s v="M"/>
    <s v="Robert"/>
    <s v="Ng"/>
    <x v="149"/>
    <n v="114.41"/>
    <s v="$372,062,527,489 "/>
    <n v="83.1"/>
    <n v="13.1"/>
    <n v="21"/>
    <n v="5703569"/>
  </r>
  <r>
    <n v="305"/>
    <x v="289"/>
    <x v="1"/>
    <s v="Santa Barbara"/>
    <x v="158"/>
    <x v="10"/>
    <b v="1"/>
    <s v="M"/>
    <s v="Steven"/>
    <s v="Rales"/>
    <x v="149"/>
    <n v="117.24"/>
    <s v="$21,427,700,000,000 "/>
    <n v="78.5"/>
    <n v="9.6"/>
    <n v="36.6"/>
    <n v="328239523"/>
  </r>
  <r>
    <n v="305"/>
    <x v="290"/>
    <x v="32"/>
    <s v="Cairo"/>
    <x v="159"/>
    <x v="16"/>
    <b v="0"/>
    <s v="M"/>
    <s v="Nassef"/>
    <s v="Sawiris"/>
    <x v="149"/>
    <n v="288.57"/>
    <s v="$303,175,127,598 "/>
    <n v="71.8"/>
    <n v="12.5"/>
    <n v="44.4"/>
    <n v="100388073"/>
  </r>
  <r>
    <n v="305"/>
    <x v="291"/>
    <x v="1"/>
    <s v="Adel"/>
    <x v="160"/>
    <x v="7"/>
    <b v="1"/>
    <s v="M"/>
    <s v="Harry"/>
    <s v="Stine"/>
    <x v="149"/>
    <n v="117.24"/>
    <s v="$21,427,700,000,000 "/>
    <n v="78.5"/>
    <n v="9.6"/>
    <n v="36.6"/>
    <n v="328239523"/>
  </r>
  <r>
    <n v="312"/>
    <x v="292"/>
    <x v="3"/>
    <s v="Kolkata"/>
    <x v="161"/>
    <x v="10"/>
    <b v="0"/>
    <s v="M"/>
    <s v="Benu Gopal"/>
    <s v="Bangur"/>
    <x v="150"/>
    <n v="180.44"/>
    <s v="$2,611,000,000,000 "/>
    <n v="69.400000000000006"/>
    <n v="11.2"/>
    <n v="49.7"/>
    <n v="1366417754"/>
  </r>
  <r>
    <n v="312"/>
    <x v="293"/>
    <x v="16"/>
    <s v="Moscow"/>
    <x v="162"/>
    <x v="11"/>
    <b v="1"/>
    <s v="M"/>
    <s v="Iskander"/>
    <s v="Makhmudov"/>
    <x v="150"/>
    <n v="180.75"/>
    <s v="$1,699,876,578,871 "/>
    <n v="72.7"/>
    <n v="11.4"/>
    <n v="46.2"/>
    <n v="144373535"/>
  </r>
  <r>
    <n v="312"/>
    <x v="294"/>
    <x v="33"/>
    <s v="Aarhus"/>
    <x v="31"/>
    <x v="0"/>
    <b v="0"/>
    <s v="M"/>
    <s v="Anders Holch"/>
    <s v="Povlsen"/>
    <x v="150"/>
    <n v="110.35"/>
    <s v="$348,078,018,464 "/>
    <n v="81"/>
    <n v="32.4"/>
    <n v="23.8"/>
    <n v="5818553"/>
  </r>
  <r>
    <n v="312"/>
    <x v="295"/>
    <x v="30"/>
    <s v="Manila"/>
    <x v="163"/>
    <x v="8"/>
    <b v="0"/>
    <s v="M"/>
    <s v="Enrique"/>
    <s v="Razon Jr."/>
    <x v="150"/>
    <n v="129.61000000000001"/>
    <s v="$376,795,508,680 "/>
    <n v="71.099999999999994"/>
    <n v="14"/>
    <n v="43.1"/>
    <n v="108116615"/>
  </r>
  <r>
    <n v="312"/>
    <x v="296"/>
    <x v="5"/>
    <s v="Shenzhen"/>
    <x v="164"/>
    <x v="2"/>
    <b v="1"/>
    <s v="F"/>
    <s v="Laichun"/>
    <s v="Wang"/>
    <x v="150"/>
    <n v="125.08"/>
    <s v="$19,910,000,000,000 "/>
    <n v="77"/>
    <n v="9.4"/>
    <n v="59.2"/>
    <n v="1397715000"/>
  </r>
  <r>
    <n v="317"/>
    <x v="297"/>
    <x v="1"/>
    <s v="Gladwyne"/>
    <x v="36"/>
    <x v="3"/>
    <b v="1"/>
    <s v="M"/>
    <s v="Arthur"/>
    <s v="Dantchik"/>
    <x v="151"/>
    <n v="117.24"/>
    <s v="$21,427,700,000,000 "/>
    <n v="78.5"/>
    <n v="9.6"/>
    <n v="36.6"/>
    <n v="328239523"/>
  </r>
  <r>
    <n v="317"/>
    <x v="298"/>
    <x v="1"/>
    <s v="Palm Beach"/>
    <x v="165"/>
    <x v="15"/>
    <b v="1"/>
    <s v="M"/>
    <s v="Jeff"/>
    <s v="Greene"/>
    <x v="151"/>
    <n v="117.24"/>
    <s v="$21,427,700,000,000 "/>
    <n v="78.5"/>
    <n v="9.6"/>
    <n v="36.6"/>
    <n v="328239523"/>
  </r>
  <r>
    <n v="317"/>
    <x v="299"/>
    <x v="1"/>
    <s v="Malibu"/>
    <x v="166"/>
    <x v="3"/>
    <b v="1"/>
    <s v="M"/>
    <s v="Don"/>
    <s v="Hankey"/>
    <x v="151"/>
    <n v="117.24"/>
    <s v="$21,427,700,000,000 "/>
    <n v="78.5"/>
    <n v="9.6"/>
    <n v="36.6"/>
    <n v="328239523"/>
  </r>
  <r>
    <n v="317"/>
    <x v="300"/>
    <x v="1"/>
    <s v="Houston"/>
    <x v="167"/>
    <x v="12"/>
    <b v="1"/>
    <s v="M"/>
    <s v="Richard"/>
    <s v="Kinder"/>
    <x v="151"/>
    <n v="117.24"/>
    <s v="$21,427,700,000,000 "/>
    <n v="78.5"/>
    <n v="9.6"/>
    <n v="36.6"/>
    <n v="328239523"/>
  </r>
  <r>
    <n v="317"/>
    <x v="301"/>
    <x v="15"/>
    <s v="Dubai"/>
    <x v="168"/>
    <x v="3"/>
    <b v="1"/>
    <s v="M"/>
    <s v="Guillaume"/>
    <s v="Pousaz"/>
    <x v="151"/>
    <n v="114.52"/>
    <s v="$421,142,267,938 "/>
    <n v="77.8"/>
    <n v="0.1"/>
    <n v="15.9"/>
    <n v="9770529"/>
  </r>
  <r>
    <n v="317"/>
    <x v="302"/>
    <x v="11"/>
    <s v="Tokyo"/>
    <x v="169"/>
    <x v="0"/>
    <b v="0"/>
    <s v="M"/>
    <s v="Takahisa"/>
    <s v="Takahara"/>
    <x v="151"/>
    <n v="105.48"/>
    <s v="$5,081,769,542,380 "/>
    <n v="84.2"/>
    <n v="11.9"/>
    <n v="46.7"/>
    <n v="126226568"/>
  </r>
  <r>
    <n v="317"/>
    <x v="303"/>
    <x v="5"/>
    <s v="Hangzhou"/>
    <x v="170"/>
    <x v="7"/>
    <b v="1"/>
    <s v="M"/>
    <s v="Qinghou"/>
    <s v="Zong"/>
    <x v="151"/>
    <n v="125.08"/>
    <s v="$19,910,000,000,000 "/>
    <n v="77"/>
    <n v="9.4"/>
    <n v="59.2"/>
    <n v="1397715000"/>
  </r>
  <r>
    <n v="325"/>
    <x v="304"/>
    <x v="1"/>
    <s v="Madison"/>
    <x v="171"/>
    <x v="2"/>
    <b v="1"/>
    <s v="F"/>
    <s v="Judy"/>
    <s v="Faulkner"/>
    <x v="152"/>
    <n v="117.24"/>
    <s v="$21,427,700,000,000 "/>
    <n v="78.5"/>
    <n v="9.6"/>
    <n v="36.6"/>
    <n v="328239523"/>
  </r>
  <r>
    <n v="325"/>
    <x v="305"/>
    <x v="10"/>
    <s v="Vienna"/>
    <x v="172"/>
    <x v="9"/>
    <b v="1"/>
    <s v="M"/>
    <s v="Johann"/>
    <s v="Graf"/>
    <x v="152"/>
    <n v="118.06"/>
    <s v="$446,314,739,528 "/>
    <n v="81.599999999999994"/>
    <n v="25.4"/>
    <n v="51.4"/>
    <n v="8877067"/>
  </r>
  <r>
    <n v="325"/>
    <x v="306"/>
    <x v="1"/>
    <s v="Lexington"/>
    <x v="173"/>
    <x v="14"/>
    <b v="0"/>
    <s v="F"/>
    <s v="Tamara"/>
    <s v="Gustavson"/>
    <x v="152"/>
    <n v="117.24"/>
    <s v="$21,427,700,000,000 "/>
    <n v="78.5"/>
    <n v="9.6"/>
    <n v="36.6"/>
    <n v="328239523"/>
  </r>
  <r>
    <n v="325"/>
    <x v="307"/>
    <x v="5"/>
    <s v="Changsha"/>
    <x v="174"/>
    <x v="10"/>
    <b v="1"/>
    <s v="M"/>
    <s v="Wengen"/>
    <s v="Liang"/>
    <x v="152"/>
    <n v="125.08"/>
    <s v="$19,910,000,000,000 "/>
    <n v="77"/>
    <n v="9.4"/>
    <n v="59.2"/>
    <n v="1397715000"/>
  </r>
  <r>
    <n v="325"/>
    <x v="308"/>
    <x v="8"/>
    <s v="Lausanne"/>
    <x v="175"/>
    <x v="13"/>
    <b v="0"/>
    <s v="M"/>
    <s v="Frederik"/>
    <s v="Paulsen"/>
    <x v="152"/>
    <n v="99.55"/>
    <s v="$703,082,435,360 "/>
    <n v="83.6"/>
    <n v="10.1"/>
    <n v="28.8"/>
    <n v="8574832"/>
  </r>
  <r>
    <n v="325"/>
    <x v="309"/>
    <x v="21"/>
    <s v="Singapore"/>
    <x v="74"/>
    <x v="3"/>
    <b v="0"/>
    <s v="M"/>
    <s v="Cho Yaw"/>
    <s v="Wee"/>
    <x v="152"/>
    <n v="114.41"/>
    <s v="$372,062,527,489 "/>
    <n v="83.1"/>
    <n v="13.1"/>
    <n v="21"/>
    <n v="5703569"/>
  </r>
  <r>
    <n v="325"/>
    <x v="310"/>
    <x v="5"/>
    <s v="Ningbo"/>
    <x v="176"/>
    <x v="10"/>
    <b v="1"/>
    <s v="M"/>
    <s v="Hejun"/>
    <s v="Zhang"/>
    <x v="152"/>
    <n v="125.08"/>
    <s v="$19,910,000,000,000 "/>
    <n v="77"/>
    <n v="9.4"/>
    <n v="59.2"/>
    <n v="1397715000"/>
  </r>
  <r>
    <n v="332"/>
    <x v="311"/>
    <x v="1"/>
    <s v="San Francisco"/>
    <x v="112"/>
    <x v="2"/>
    <b v="1"/>
    <s v="M"/>
    <s v="Marc"/>
    <s v="Benioff"/>
    <x v="153"/>
    <n v="117.24"/>
    <s v="$21,427,700,000,000 "/>
    <n v="78.5"/>
    <n v="9.6"/>
    <n v="36.6"/>
    <n v="328239523"/>
  </r>
  <r>
    <n v="332"/>
    <x v="312"/>
    <x v="12"/>
    <s v="London"/>
    <x v="40"/>
    <x v="4"/>
    <b v="1"/>
    <s v="M"/>
    <s v="Dmitri"/>
    <s v="Bukhman"/>
    <x v="153"/>
    <n v="119.62"/>
    <s v="$2,827,113,184,696 "/>
    <n v="81.3"/>
    <n v="25.5"/>
    <n v="30.6"/>
    <n v="66834405"/>
  </r>
  <r>
    <n v="332"/>
    <x v="313"/>
    <x v="12"/>
    <s v="London"/>
    <x v="40"/>
    <x v="4"/>
    <b v="1"/>
    <s v="M"/>
    <s v="Igor"/>
    <s v="Bukhman"/>
    <x v="153"/>
    <n v="119.62"/>
    <s v="$2,827,113,184,696 "/>
    <n v="81.3"/>
    <n v="25.5"/>
    <n v="30.6"/>
    <n v="66834405"/>
  </r>
  <r>
    <n v="332"/>
    <x v="314"/>
    <x v="1"/>
    <s v="Redlands"/>
    <x v="177"/>
    <x v="2"/>
    <b v="1"/>
    <s v="M"/>
    <s v="Jack"/>
    <s v="Dangermond"/>
    <x v="153"/>
    <n v="117.24"/>
    <s v="$21,427,700,000,000 "/>
    <n v="78.5"/>
    <n v="9.6"/>
    <n v="36.6"/>
    <n v="328239523"/>
  </r>
  <r>
    <n v="332"/>
    <x v="315"/>
    <x v="3"/>
    <s v="Mumbai"/>
    <x v="86"/>
    <x v="10"/>
    <b v="0"/>
    <s v="M"/>
    <s v="Ashwin"/>
    <s v="Dani"/>
    <x v="153"/>
    <n v="180.44"/>
    <s v="$2,611,000,000,000 "/>
    <n v="69.400000000000006"/>
    <n v="11.2"/>
    <n v="49.7"/>
    <n v="1366417754"/>
  </r>
  <r>
    <n v="332"/>
    <x v="316"/>
    <x v="1"/>
    <s v="New York"/>
    <x v="178"/>
    <x v="0"/>
    <b v="1"/>
    <s v="M"/>
    <s v="Ralph"/>
    <s v="Lauren"/>
    <x v="153"/>
    <n v="117.24"/>
    <s v="$21,427,700,000,000 "/>
    <n v="78.5"/>
    <n v="9.6"/>
    <n v="36.6"/>
    <n v="328239523"/>
  </r>
  <r>
    <n v="332"/>
    <x v="317"/>
    <x v="3"/>
    <s v="Mumbai"/>
    <x v="8"/>
    <x v="6"/>
    <b v="0"/>
    <s v="F"/>
    <s v="Rohiqa Cyrus"/>
    <s v="Mistry"/>
    <x v="153"/>
    <n v="180.44"/>
    <s v="$2,611,000,000,000 "/>
    <n v="69.400000000000006"/>
    <n v="11.2"/>
    <n v="49.7"/>
    <n v="1366417754"/>
  </r>
  <r>
    <n v="332"/>
    <x v="318"/>
    <x v="3"/>
    <s v="Mumbai"/>
    <x v="8"/>
    <x v="6"/>
    <b v="0"/>
    <s v="M"/>
    <s v="Shapoor"/>
    <s v="Mistry"/>
    <x v="153"/>
    <n v="180.44"/>
    <s v="$2,611,000,000,000 "/>
    <n v="69.400000000000006"/>
    <n v="11.2"/>
    <n v="49.7"/>
    <n v="1366417754"/>
  </r>
  <r>
    <n v="332"/>
    <x v="319"/>
    <x v="1"/>
    <s v="Hobe Sound"/>
    <x v="179"/>
    <x v="7"/>
    <b v="1"/>
    <s v="M"/>
    <s v="J. Christopher"/>
    <s v="Reyes"/>
    <x v="153"/>
    <n v="117.24"/>
    <s v="$21,427,700,000,000 "/>
    <n v="78.5"/>
    <n v="9.6"/>
    <n v="36.6"/>
    <n v="328239523"/>
  </r>
  <r>
    <n v="332"/>
    <x v="320"/>
    <x v="1"/>
    <s v="Palm Beach"/>
    <x v="179"/>
    <x v="7"/>
    <b v="1"/>
    <s v="M"/>
    <s v="Jude"/>
    <s v="Reyes"/>
    <x v="153"/>
    <n v="117.24"/>
    <s v="$21,427,700,000,000 "/>
    <n v="78.5"/>
    <n v="9.6"/>
    <n v="36.6"/>
    <n v="328239523"/>
  </r>
  <r>
    <n v="332"/>
    <x v="321"/>
    <x v="1"/>
    <s v="Port Washington"/>
    <x v="170"/>
    <x v="7"/>
    <b v="1"/>
    <s v="M"/>
    <s v="Don"/>
    <s v="Vultaggio"/>
    <x v="153"/>
    <n v="117.24"/>
    <s v="$21,427,700,000,000 "/>
    <n v="78.5"/>
    <n v="9.6"/>
    <n v="36.6"/>
    <n v="328239523"/>
  </r>
  <r>
    <n v="344"/>
    <x v="322"/>
    <x v="1"/>
    <s v="Los Angeles"/>
    <x v="180"/>
    <x v="6"/>
    <b v="0"/>
    <s v="F"/>
    <s v="Edythe"/>
    <s v="Broad"/>
    <x v="154"/>
    <n v="117.24"/>
    <s v="$21,427,700,000,000 "/>
    <n v="78.5"/>
    <n v="9.6"/>
    <n v="36.6"/>
    <n v="328239523"/>
  </r>
  <r>
    <n v="344"/>
    <x v="323"/>
    <x v="1"/>
    <s v="St. Louis"/>
    <x v="181"/>
    <x v="7"/>
    <b v="0"/>
    <s v="F"/>
    <s v="Pauline MacMillan"/>
    <s v="Keinath"/>
    <x v="154"/>
    <n v="117.24"/>
    <s v="$21,427,700,000,000 "/>
    <n v="78.5"/>
    <n v="9.6"/>
    <n v="36.6"/>
    <n v="328239523"/>
  </r>
  <r>
    <n v="344"/>
    <x v="324"/>
    <x v="1"/>
    <s v="New York"/>
    <x v="182"/>
    <x v="3"/>
    <b v="1"/>
    <s v="M"/>
    <s v="Philippe"/>
    <s v="Laffont"/>
    <x v="154"/>
    <n v="117.24"/>
    <s v="$21,427,700,000,000 "/>
    <n v="78.5"/>
    <n v="9.6"/>
    <n v="36.6"/>
    <n v="328239523"/>
  </r>
  <r>
    <n v="344"/>
    <x v="325"/>
    <x v="5"/>
    <s v="Huizhou"/>
    <x v="183"/>
    <x v="2"/>
    <b v="1"/>
    <s v="M"/>
    <s v="Jincheng"/>
    <s v="Liu"/>
    <x v="154"/>
    <n v="125.08"/>
    <s v="$19,910,000,000,000 "/>
    <n v="77"/>
    <n v="9.4"/>
    <n v="59.2"/>
    <n v="1397715000"/>
  </r>
  <r>
    <n v="344"/>
    <x v="326"/>
    <x v="1"/>
    <s v="Lighthouse Point"/>
    <x v="71"/>
    <x v="15"/>
    <b v="1"/>
    <s v="M"/>
    <s v="Igor"/>
    <s v="Olenicoff"/>
    <x v="154"/>
    <n v="117.24"/>
    <s v="$21,427,700,000,000 "/>
    <n v="78.5"/>
    <n v="9.6"/>
    <n v="36.6"/>
    <n v="328239523"/>
  </r>
  <r>
    <n v="344"/>
    <x v="327"/>
    <x v="4"/>
    <s v="La Coruna"/>
    <x v="11"/>
    <x v="0"/>
    <b v="0"/>
    <s v="F"/>
    <s v="Sandra"/>
    <s v="Ortega Mera"/>
    <x v="154"/>
    <n v="110.96"/>
    <s v="$1,394,116,310,769 "/>
    <n v="83.3"/>
    <n v="14.2"/>
    <n v="47"/>
    <n v="47076781"/>
  </r>
  <r>
    <n v="344"/>
    <x v="328"/>
    <x v="1"/>
    <s v="Portage"/>
    <x v="184"/>
    <x v="13"/>
    <b v="0"/>
    <s v="F"/>
    <s v="Ronda"/>
    <s v="Stryker"/>
    <x v="154"/>
    <n v="117.24"/>
    <s v="$21,427,700,000,000 "/>
    <n v="78.5"/>
    <n v="9.6"/>
    <n v="36.6"/>
    <n v="328239523"/>
  </r>
  <r>
    <n v="352"/>
    <x v="329"/>
    <x v="1"/>
    <s v="Houston"/>
    <x v="167"/>
    <x v="12"/>
    <b v="0"/>
    <s v="F"/>
    <s v="Dannine"/>
    <s v="Avara"/>
    <x v="155"/>
    <n v="117.24"/>
    <s v="$21,427,700,000,000 "/>
    <n v="78.5"/>
    <n v="9.6"/>
    <n v="36.6"/>
    <n v="328239523"/>
  </r>
  <r>
    <n v="352"/>
    <x v="330"/>
    <x v="24"/>
    <s v="Milan"/>
    <x v="16"/>
    <x v="6"/>
    <b v="1"/>
    <s v="M"/>
    <s v="Silvio"/>
    <s v="Berlusconi"/>
    <x v="155"/>
    <n v="110.62"/>
    <s v="$2,001,244,392,042 "/>
    <n v="82.9"/>
    <n v="24.3"/>
    <n v="59.1"/>
    <n v="60297396"/>
  </r>
  <r>
    <n v="352"/>
    <x v="331"/>
    <x v="12"/>
    <s v="Stoke-on-Trent"/>
    <x v="185"/>
    <x v="9"/>
    <b v="1"/>
    <s v="F"/>
    <s v="Denise"/>
    <s v="Coates"/>
    <x v="155"/>
    <n v="119.62"/>
    <s v="$2,827,113,184,696 "/>
    <n v="81.3"/>
    <n v="25.5"/>
    <n v="30.6"/>
    <n v="66834405"/>
  </r>
  <r>
    <n v="352"/>
    <x v="332"/>
    <x v="1"/>
    <s v="Houston"/>
    <x v="167"/>
    <x v="12"/>
    <b v="0"/>
    <s v="M"/>
    <s v="Scott"/>
    <s v="Duncan"/>
    <x v="155"/>
    <n v="117.24"/>
    <s v="$21,427,700,000,000 "/>
    <n v="78.5"/>
    <n v="9.6"/>
    <n v="36.6"/>
    <n v="328239523"/>
  </r>
  <r>
    <n v="352"/>
    <x v="333"/>
    <x v="1"/>
    <s v="Houston"/>
    <x v="167"/>
    <x v="12"/>
    <b v="0"/>
    <s v="F"/>
    <s v="Milane"/>
    <s v="Frantz"/>
    <x v="155"/>
    <n v="117.24"/>
    <s v="$21,427,700,000,000 "/>
    <n v="78.5"/>
    <n v="9.6"/>
    <n v="36.6"/>
    <n v="328239523"/>
  </r>
  <r>
    <n v="352"/>
    <x v="334"/>
    <x v="1"/>
    <s v="Boston"/>
    <x v="54"/>
    <x v="3"/>
    <b v="0"/>
    <s v="M"/>
    <s v="Edward"/>
    <s v="Johnson"/>
    <x v="155"/>
    <n v="117.24"/>
    <s v="$21,427,700,000,000 "/>
    <n v="78.5"/>
    <n v="9.6"/>
    <n v="36.6"/>
    <n v="328239523"/>
  </r>
  <r>
    <n v="352"/>
    <x v="335"/>
    <x v="1"/>
    <s v="Los Altos"/>
    <x v="186"/>
    <x v="3"/>
    <b v="1"/>
    <s v="M"/>
    <s v="Yuri"/>
    <s v="Milner"/>
    <x v="155"/>
    <n v="117.24"/>
    <s v="$21,427,700,000,000 "/>
    <n v="78.5"/>
    <n v="9.6"/>
    <n v="36.6"/>
    <n v="328239523"/>
  </r>
  <r>
    <n v="352"/>
    <x v="336"/>
    <x v="1"/>
    <s v="Woodside"/>
    <x v="187"/>
    <x v="2"/>
    <b v="1"/>
    <s v="M"/>
    <s v="Gordon"/>
    <s v="Moore"/>
    <x v="155"/>
    <n v="117.24"/>
    <s v="$21,427,700,000,000 "/>
    <n v="78.5"/>
    <n v="9.6"/>
    <n v="36.6"/>
    <n v="328239523"/>
  </r>
  <r>
    <n v="352"/>
    <x v="337"/>
    <x v="1"/>
    <s v="Millburn"/>
    <x v="28"/>
    <x v="3"/>
    <b v="1"/>
    <s v="M"/>
    <s v="John"/>
    <s v="Overdeck"/>
    <x v="155"/>
    <n v="117.24"/>
    <s v="$21,427,700,000,000 "/>
    <n v="78.5"/>
    <n v="9.6"/>
    <n v="36.6"/>
    <n v="328239523"/>
  </r>
  <r>
    <n v="352"/>
    <x v="338"/>
    <x v="1"/>
    <s v="Scarsdale"/>
    <x v="28"/>
    <x v="3"/>
    <b v="1"/>
    <s v="M"/>
    <s v="David"/>
    <s v="Siegel"/>
    <x v="155"/>
    <n v="117.24"/>
    <s v="$21,427,700,000,000 "/>
    <n v="78.5"/>
    <n v="9.6"/>
    <n v="36.6"/>
    <n v="328239523"/>
  </r>
  <r>
    <n v="352"/>
    <x v="339"/>
    <x v="16"/>
    <s v="Moscow"/>
    <x v="188"/>
    <x v="6"/>
    <b v="1"/>
    <s v="M"/>
    <s v="Viktor"/>
    <s v="Vekselberg"/>
    <x v="155"/>
    <n v="180.75"/>
    <s v="$1,699,876,578,871 "/>
    <n v="72.7"/>
    <n v="11.4"/>
    <n v="46.2"/>
    <n v="144373535"/>
  </r>
  <r>
    <n v="352"/>
    <x v="340"/>
    <x v="5"/>
    <s v="Shenzhen"/>
    <x v="164"/>
    <x v="2"/>
    <b v="1"/>
    <s v="M"/>
    <s v="Laisheng"/>
    <s v="Wang"/>
    <x v="155"/>
    <n v="125.08"/>
    <s v="$19,910,000,000,000 "/>
    <n v="77"/>
    <n v="9.4"/>
    <n v="59.2"/>
    <n v="1397715000"/>
  </r>
  <r>
    <n v="352"/>
    <x v="341"/>
    <x v="1"/>
    <s v="Houston"/>
    <x v="167"/>
    <x v="12"/>
    <b v="0"/>
    <s v="F"/>
    <s v="Randa Duncan"/>
    <s v="Williams"/>
    <x v="155"/>
    <n v="117.24"/>
    <s v="$21,427,700,000,000 "/>
    <n v="78.5"/>
    <n v="9.6"/>
    <n v="36.6"/>
    <n v="328239523"/>
  </r>
  <r>
    <n v="365"/>
    <x v="342"/>
    <x v="1"/>
    <s v="Dallas"/>
    <x v="189"/>
    <x v="3"/>
    <b v="1"/>
    <s v="M"/>
    <s v="Ken"/>
    <s v="Fisher"/>
    <x v="156"/>
    <n v="117.24"/>
    <s v="$21,427,700,000,000 "/>
    <n v="78.5"/>
    <n v="9.6"/>
    <n v="36.6"/>
    <n v="328239523"/>
  </r>
  <r>
    <n v="365"/>
    <x v="343"/>
    <x v="12"/>
    <s v="London"/>
    <x v="28"/>
    <x v="3"/>
    <b v="1"/>
    <s v="M"/>
    <s v="Christopher"/>
    <s v="Hohn"/>
    <x v="156"/>
    <n v="119.62"/>
    <s v="$2,827,113,184,696 "/>
    <n v="81.3"/>
    <n v="25.5"/>
    <n v="30.6"/>
    <n v="66834405"/>
  </r>
  <r>
    <n v="365"/>
    <x v="344"/>
    <x v="33"/>
    <s v="Billund"/>
    <x v="190"/>
    <x v="10"/>
    <b v="0"/>
    <s v="M"/>
    <s v="Kjeld Kirk"/>
    <s v="Kristiansen"/>
    <x v="156"/>
    <n v="110.35"/>
    <s v="$348,078,018,464 "/>
    <n v="81"/>
    <n v="32.4"/>
    <n v="23.8"/>
    <n v="5818553"/>
  </r>
  <r>
    <n v="365"/>
    <x v="345"/>
    <x v="33"/>
    <s v="Billund"/>
    <x v="190"/>
    <x v="10"/>
    <b v="0"/>
    <s v="F"/>
    <s v="Sofie Kirk"/>
    <s v="Kristiansen"/>
    <x v="156"/>
    <n v="110.35"/>
    <s v="$348,078,018,464 "/>
    <n v="81"/>
    <n v="32.4"/>
    <n v="23.8"/>
    <n v="5818553"/>
  </r>
  <r>
    <n v="365"/>
    <x v="346"/>
    <x v="33"/>
    <s v="Billund"/>
    <x v="190"/>
    <x v="10"/>
    <b v="0"/>
    <s v="M"/>
    <s v="Thomas Kirk"/>
    <s v="Kristiansen"/>
    <x v="156"/>
    <n v="110.35"/>
    <s v="$348,078,018,464 "/>
    <n v="81"/>
    <n v="32.4"/>
    <n v="23.8"/>
    <n v="5818553"/>
  </r>
  <r>
    <n v="365"/>
    <x v="347"/>
    <x v="24"/>
    <s v="Fiesole"/>
    <x v="81"/>
    <x v="13"/>
    <b v="0"/>
    <s v="F"/>
    <s v="Massimiliana"/>
    <s v="Landini Aleotti"/>
    <x v="156"/>
    <n v="110.62"/>
    <s v="$2,001,244,392,042 "/>
    <n v="82.9"/>
    <n v="24.3"/>
    <n v="59.1"/>
    <n v="60297396"/>
  </r>
  <r>
    <n v="365"/>
    <x v="348"/>
    <x v="5"/>
    <s v="Ningde"/>
    <x v="30"/>
    <x v="1"/>
    <b v="1"/>
    <s v="M"/>
    <s v="Ping"/>
    <s v="Li"/>
    <x v="156"/>
    <n v="125.08"/>
    <s v="$19,910,000,000,000 "/>
    <n v="77"/>
    <n v="9.4"/>
    <n v="59.2"/>
    <n v="1397715000"/>
  </r>
  <r>
    <n v="365"/>
    <x v="349"/>
    <x v="5"/>
    <s v="Hangzhou"/>
    <x v="191"/>
    <x v="10"/>
    <b v="1"/>
    <s v="M"/>
    <s v="Jianhua"/>
    <s v="Lin"/>
    <x v="156"/>
    <n v="125.08"/>
    <s v="$19,910,000,000,000 "/>
    <n v="77"/>
    <n v="9.4"/>
    <n v="59.2"/>
    <n v="1397715000"/>
  </r>
  <r>
    <n v="365"/>
    <x v="350"/>
    <x v="8"/>
    <s v="Feldmeilen"/>
    <x v="49"/>
    <x v="10"/>
    <b v="0"/>
    <s v="F"/>
    <s v="Magdalena"/>
    <s v="Martullo-Blocher"/>
    <x v="156"/>
    <n v="99.55"/>
    <s v="$703,082,435,360 "/>
    <n v="83.6"/>
    <n v="10.1"/>
    <n v="28.8"/>
    <n v="8574832"/>
  </r>
  <r>
    <n v="365"/>
    <x v="351"/>
    <x v="0"/>
    <s v="Paris"/>
    <x v="51"/>
    <x v="5"/>
    <b v="1"/>
    <s v="M"/>
    <s v="Xavier"/>
    <s v="Niel"/>
    <x v="156"/>
    <n v="110.05"/>
    <s v="$2,715,518,274,227 "/>
    <n v="82.5"/>
    <n v="24.2"/>
    <n v="60.7"/>
    <n v="67059887"/>
  </r>
  <r>
    <n v="365"/>
    <x v="352"/>
    <x v="1"/>
    <s v="Boca Raton"/>
    <x v="192"/>
    <x v="12"/>
    <b v="1"/>
    <s v="M"/>
    <s v="Terrence"/>
    <s v="Pegula"/>
    <x v="156"/>
    <n v="117.24"/>
    <s v="$21,427,700,000,000 "/>
    <n v="78.5"/>
    <n v="9.6"/>
    <n v="36.6"/>
    <n v="328239523"/>
  </r>
  <r>
    <n v="365"/>
    <x v="353"/>
    <x v="1"/>
    <s v="Los Angeles"/>
    <x v="71"/>
    <x v="15"/>
    <b v="0"/>
    <s v="M"/>
    <s v="Edward"/>
    <s v="Roski"/>
    <x v="156"/>
    <n v="117.24"/>
    <s v="$21,427,700,000,000 "/>
    <n v="78.5"/>
    <n v="9.6"/>
    <n v="36.6"/>
    <n v="328239523"/>
  </r>
  <r>
    <n v="365"/>
    <x v="354"/>
    <x v="1"/>
    <s v="Atherton"/>
    <x v="71"/>
    <x v="15"/>
    <b v="1"/>
    <s v="M"/>
    <s v="John A."/>
    <s v="Sobrato"/>
    <x v="156"/>
    <n v="117.24"/>
    <s v="$21,427,700,000,000 "/>
    <n v="78.5"/>
    <n v="9.6"/>
    <n v="36.6"/>
    <n v="328239523"/>
  </r>
  <r>
    <n v="365"/>
    <x v="355"/>
    <x v="1"/>
    <s v="Katonah"/>
    <x v="28"/>
    <x v="3"/>
    <b v="1"/>
    <s v="M"/>
    <s v="George"/>
    <s v="Soros"/>
    <x v="156"/>
    <n v="117.24"/>
    <s v="$21,427,700,000,000 "/>
    <n v="78.5"/>
    <n v="9.6"/>
    <n v="36.6"/>
    <n v="328239523"/>
  </r>
  <r>
    <n v="365"/>
    <x v="356"/>
    <x v="1"/>
    <s v="Irvine"/>
    <x v="193"/>
    <x v="2"/>
    <b v="1"/>
    <s v="M"/>
    <s v="David"/>
    <s v="Sun"/>
    <x v="156"/>
    <n v="117.24"/>
    <s v="$21,427,700,000,000 "/>
    <n v="78.5"/>
    <n v="9.6"/>
    <n v="36.6"/>
    <n v="328239523"/>
  </r>
  <r>
    <n v="365"/>
    <x v="357"/>
    <x v="33"/>
    <s v="Billund"/>
    <x v="190"/>
    <x v="10"/>
    <b v="0"/>
    <s v="F"/>
    <s v="Agnete Kirk"/>
    <s v="Thinggaard"/>
    <x v="156"/>
    <n v="110.35"/>
    <s v="$348,078,018,464 "/>
    <n v="81"/>
    <n v="32.4"/>
    <n v="23.8"/>
    <n v="5818553"/>
  </r>
  <r>
    <n v="365"/>
    <x v="358"/>
    <x v="1"/>
    <s v="Rolling Hills"/>
    <x v="193"/>
    <x v="2"/>
    <b v="1"/>
    <s v="M"/>
    <s v="John"/>
    <s v="Tu"/>
    <x v="156"/>
    <n v="117.24"/>
    <s v="$21,427,700,000,000 "/>
    <n v="78.5"/>
    <n v="9.6"/>
    <n v="36.6"/>
    <n v="328239523"/>
  </r>
  <r>
    <n v="365"/>
    <x v="359"/>
    <x v="5"/>
    <s v="Quanzhou"/>
    <x v="194"/>
    <x v="7"/>
    <b v="1"/>
    <s v="M"/>
    <s v="Shihui"/>
    <s v="Xu"/>
    <x v="156"/>
    <n v="125.08"/>
    <s v="$19,910,000,000,000 "/>
    <n v="77"/>
    <n v="9.4"/>
    <n v="59.2"/>
    <n v="1397715000"/>
  </r>
  <r>
    <n v="383"/>
    <x v="360"/>
    <x v="8"/>
    <s v="Wilen bei Wollerau"/>
    <x v="49"/>
    <x v="10"/>
    <b v="0"/>
    <s v="F"/>
    <s v="Rahel"/>
    <s v="Blocher"/>
    <x v="157"/>
    <n v="99.55"/>
    <s v="$703,082,435,360 "/>
    <n v="83.6"/>
    <n v="10.1"/>
    <n v="28.8"/>
    <n v="8574832"/>
  </r>
  <r>
    <n v="383"/>
    <x v="361"/>
    <x v="1"/>
    <s v="Atlanta"/>
    <x v="195"/>
    <x v="7"/>
    <b v="0"/>
    <s v="M"/>
    <s v="Bubba"/>
    <s v="Cathy"/>
    <x v="157"/>
    <n v="117.24"/>
    <s v="$21,427,700,000,000 "/>
    <n v="78.5"/>
    <n v="9.6"/>
    <n v="36.6"/>
    <n v="328239523"/>
  </r>
  <r>
    <n v="383"/>
    <x v="362"/>
    <x v="1"/>
    <s v="Atlanta"/>
    <x v="195"/>
    <x v="7"/>
    <b v="0"/>
    <s v="M"/>
    <s v="Dan"/>
    <s v="Cathy"/>
    <x v="157"/>
    <n v="117.24"/>
    <s v="$21,427,700,000,000 "/>
    <n v="78.5"/>
    <n v="9.6"/>
    <n v="36.6"/>
    <n v="328239523"/>
  </r>
  <r>
    <n v="383"/>
    <x v="363"/>
    <x v="1"/>
    <s v="Hampton"/>
    <x v="195"/>
    <x v="7"/>
    <b v="0"/>
    <s v="F"/>
    <s v="Trudy"/>
    <s v="Cathy White"/>
    <x v="157"/>
    <n v="117.24"/>
    <s v="$21,427,700,000,000 "/>
    <n v="78.5"/>
    <n v="9.6"/>
    <n v="36.6"/>
    <n v="328239523"/>
  </r>
  <r>
    <n v="383"/>
    <x v="364"/>
    <x v="1"/>
    <s v="New York"/>
    <x v="28"/>
    <x v="3"/>
    <b v="1"/>
    <s v="M"/>
    <s v="Bruce"/>
    <s v="Kovner"/>
    <x v="157"/>
    <n v="117.24"/>
    <s v="$21,427,700,000,000 "/>
    <n v="78.5"/>
    <n v="9.6"/>
    <n v="36.6"/>
    <n v="328239523"/>
  </r>
  <r>
    <n v="383"/>
    <x v="365"/>
    <x v="1"/>
    <s v="Newport Coast"/>
    <x v="57"/>
    <x v="2"/>
    <b v="1"/>
    <s v="M"/>
    <s v="Henry"/>
    <s v="Nicholas"/>
    <x v="157"/>
    <n v="117.24"/>
    <s v="$21,427,700,000,000 "/>
    <n v="78.5"/>
    <n v="9.6"/>
    <n v="36.6"/>
    <n v="328239523"/>
  </r>
  <r>
    <n v="383"/>
    <x v="366"/>
    <x v="7"/>
    <s v="Munich"/>
    <x v="37"/>
    <x v="3"/>
    <b v="0"/>
    <s v="F"/>
    <s v="Nadia"/>
    <s v="Thiele"/>
    <x v="157"/>
    <n v="112.85"/>
    <s v="$3,845,630,030,824 "/>
    <n v="80.900000000000006"/>
    <n v="11.5"/>
    <n v="48.8"/>
    <n v="83132799"/>
  </r>
  <r>
    <n v="390"/>
    <x v="367"/>
    <x v="1"/>
    <s v="Fort Worth"/>
    <x v="116"/>
    <x v="3"/>
    <b v="1"/>
    <s v="M"/>
    <s v="David"/>
    <s v="Bonderman"/>
    <x v="158"/>
    <n v="117.24"/>
    <s v="$21,427,700,000,000 "/>
    <n v="78.5"/>
    <n v="9.6"/>
    <n v="36.6"/>
    <n v="328239523"/>
  </r>
  <r>
    <n v="390"/>
    <x v="368"/>
    <x v="1"/>
    <s v="Medina"/>
    <x v="5"/>
    <x v="2"/>
    <b v="0"/>
    <s v="F"/>
    <s v="Melinda"/>
    <s v="French Gates"/>
    <x v="158"/>
    <n v="117.24"/>
    <s v="$21,427,700,000,000 "/>
    <n v="78.5"/>
    <n v="9.6"/>
    <n v="36.6"/>
    <n v="328239523"/>
  </r>
  <r>
    <n v="390"/>
    <x v="369"/>
    <x v="1"/>
    <s v="Chevy Chase"/>
    <x v="71"/>
    <x v="15"/>
    <b v="0"/>
    <s v="F"/>
    <s v="Annette"/>
    <s v="Lerner"/>
    <x v="158"/>
    <n v="117.24"/>
    <s v="$21,427,700,000,000 "/>
    <n v="78.5"/>
    <n v="9.6"/>
    <n v="36.6"/>
    <n v="328239523"/>
  </r>
  <r>
    <n v="390"/>
    <x v="370"/>
    <x v="12"/>
    <s v="London"/>
    <x v="196"/>
    <x v="15"/>
    <b v="1"/>
    <s v="M"/>
    <s v="David"/>
    <s v="Reuben"/>
    <x v="158"/>
    <n v="119.62"/>
    <s v="$2,827,113,184,696 "/>
    <n v="81.3"/>
    <n v="25.5"/>
    <n v="30.6"/>
    <n v="66834405"/>
  </r>
  <r>
    <n v="390"/>
    <x v="371"/>
    <x v="8"/>
    <s v="Crans Montana"/>
    <x v="71"/>
    <x v="15"/>
    <b v="1"/>
    <s v="M"/>
    <s v="Radovan"/>
    <s v="Vitek"/>
    <x v="158"/>
    <n v="99.55"/>
    <s v="$703,082,435,360 "/>
    <n v="83.6"/>
    <n v="10.1"/>
    <n v="28.8"/>
    <n v="8574832"/>
  </r>
  <r>
    <n v="397"/>
    <x v="372"/>
    <x v="19"/>
    <s v="Gothenberg"/>
    <x v="37"/>
    <x v="3"/>
    <b v="1"/>
    <s v="M"/>
    <s v="Carl"/>
    <s v="Bennet"/>
    <x v="159"/>
    <n v="110.51"/>
    <s v="$530,832,908,738 "/>
    <n v="82.5"/>
    <n v="27.9"/>
    <n v="49.1"/>
    <n v="10285453"/>
  </r>
  <r>
    <n v="397"/>
    <x v="373"/>
    <x v="1"/>
    <s v="Hobe Sound"/>
    <x v="197"/>
    <x v="17"/>
    <b v="1"/>
    <s v="M"/>
    <s v="Stephen"/>
    <s v="Bisciotti"/>
    <x v="159"/>
    <n v="117.24"/>
    <s v="$21,427,700,000,000 "/>
    <n v="78.5"/>
    <n v="9.6"/>
    <n v="36.6"/>
    <n v="328239523"/>
  </r>
  <r>
    <n v="397"/>
    <x v="374"/>
    <x v="1"/>
    <s v="New York"/>
    <x v="28"/>
    <x v="3"/>
    <b v="1"/>
    <s v="M"/>
    <s v="Stanley"/>
    <s v="Druckenmiller"/>
    <x v="159"/>
    <n v="117.24"/>
    <s v="$21,427,700,000,000 "/>
    <n v="78.5"/>
    <n v="9.6"/>
    <n v="36.6"/>
    <n v="328239523"/>
  </r>
  <r>
    <n v="397"/>
    <x v="375"/>
    <x v="5"/>
    <s v="Beijing"/>
    <x v="198"/>
    <x v="13"/>
    <b v="1"/>
    <s v="F"/>
    <s v="Jun"/>
    <s v="Jian"/>
    <x v="159"/>
    <n v="125.08"/>
    <s v="$19,910,000,000,000 "/>
    <n v="77"/>
    <n v="9.4"/>
    <n v="59.2"/>
    <n v="1397715000"/>
  </r>
  <r>
    <n v="397"/>
    <x v="376"/>
    <x v="0"/>
    <s v="Paris"/>
    <x v="95"/>
    <x v="12"/>
    <b v="1"/>
    <s v="M"/>
    <s v="Alexei"/>
    <s v="Kuzmichev"/>
    <x v="159"/>
    <n v="110.05"/>
    <s v="$2,715,518,274,227 "/>
    <n v="82.5"/>
    <n v="24.2"/>
    <n v="60.7"/>
    <n v="67059887"/>
  </r>
  <r>
    <n v="397"/>
    <x v="377"/>
    <x v="34"/>
    <s v="Bogota"/>
    <x v="74"/>
    <x v="3"/>
    <b v="1"/>
    <s v="M"/>
    <s v="Luis Carlos"/>
    <s v="Sarmiento"/>
    <x v="159"/>
    <n v="140.94999999999999"/>
    <s v="$323,802,808,108 "/>
    <n v="77.099999999999994"/>
    <n v="14.4"/>
    <n v="71.2"/>
    <n v="50339443"/>
  </r>
  <r>
    <n v="397"/>
    <x v="378"/>
    <x v="1"/>
    <s v="Missoula"/>
    <x v="199"/>
    <x v="8"/>
    <b v="1"/>
    <s v="M"/>
    <s v="Dennis"/>
    <s v="Washington"/>
    <x v="159"/>
    <n v="117.24"/>
    <s v="$21,427,700,000,000 "/>
    <n v="78.5"/>
    <n v="9.6"/>
    <n v="36.6"/>
    <n v="328239523"/>
  </r>
  <r>
    <n v="405"/>
    <x v="379"/>
    <x v="12"/>
    <s v="Gloucestershire"/>
    <x v="174"/>
    <x v="16"/>
    <b v="0"/>
    <s v="M"/>
    <s v="Anthony"/>
    <s v="Bamford"/>
    <x v="160"/>
    <n v="119.62"/>
    <s v="$2,827,113,184,696 "/>
    <n v="81.3"/>
    <n v="25.5"/>
    <n v="30.6"/>
    <n v="66834405"/>
  </r>
  <r>
    <n v="405"/>
    <x v="380"/>
    <x v="5"/>
    <s v="Changzhou"/>
    <x v="200"/>
    <x v="12"/>
    <b v="1"/>
    <s v="M"/>
    <s v="Jifan"/>
    <s v="Gao"/>
    <x v="160"/>
    <n v="125.08"/>
    <s v="$19,910,000,000,000 "/>
    <n v="77"/>
    <n v="9.4"/>
    <n v="59.2"/>
    <n v="1397715000"/>
  </r>
  <r>
    <n v="405"/>
    <x v="381"/>
    <x v="12"/>
    <s v="London"/>
    <x v="116"/>
    <x v="3"/>
    <b v="1"/>
    <s v="M"/>
    <s v="John"/>
    <s v="Grayken"/>
    <x v="160"/>
    <n v="119.62"/>
    <s v="$2,827,113,184,696 "/>
    <n v="81.3"/>
    <n v="25.5"/>
    <n v="30.6"/>
    <n v="66834405"/>
  </r>
  <r>
    <n v="405"/>
    <x v="382"/>
    <x v="0"/>
    <s v="Lyon"/>
    <x v="81"/>
    <x v="13"/>
    <b v="0"/>
    <s v="M"/>
    <s v="Alain"/>
    <s v="Merieux"/>
    <x v="160"/>
    <n v="110.05"/>
    <s v="$2,715,518,274,227 "/>
    <n v="82.5"/>
    <n v="24.2"/>
    <n v="60.7"/>
    <n v="67059887"/>
  </r>
  <r>
    <n v="405"/>
    <x v="383"/>
    <x v="5"/>
    <s v="Langfang"/>
    <x v="201"/>
    <x v="12"/>
    <b v="1"/>
    <s v="M"/>
    <s v="Yusuo"/>
    <s v="Wang"/>
    <x v="160"/>
    <n v="125.08"/>
    <s v="$19,910,000,000,000 "/>
    <n v="77"/>
    <n v="9.4"/>
    <n v="59.2"/>
    <n v="1397715000"/>
  </r>
  <r>
    <n v="405"/>
    <x v="384"/>
    <x v="23"/>
    <s v="Tel Aviv"/>
    <x v="202"/>
    <x v="10"/>
    <b v="1"/>
    <s v="M"/>
    <s v="Stef"/>
    <s v="Wertheimer"/>
    <x v="160"/>
    <n v="108.15"/>
    <s v="$395,098,666,122 "/>
    <n v="82.8"/>
    <n v="23.1"/>
    <n v="25.3"/>
    <n v="9053300"/>
  </r>
  <r>
    <n v="411"/>
    <x v="385"/>
    <x v="2"/>
    <s v="Mexico City"/>
    <x v="203"/>
    <x v="7"/>
    <b v="0"/>
    <s v="F"/>
    <s v="Maria Asuncion"/>
    <s v="Aramburuzabala"/>
    <x v="161"/>
    <n v="141.54"/>
    <s v="$1,258,286,717,125 "/>
    <n v="75"/>
    <n v="13.1"/>
    <n v="55.1"/>
    <n v="126014024"/>
  </r>
  <r>
    <n v="411"/>
    <x v="386"/>
    <x v="19"/>
    <s v="Stockholm"/>
    <x v="37"/>
    <x v="6"/>
    <b v="1"/>
    <s v="M"/>
    <s v="Gustaf"/>
    <s v="Douglas"/>
    <x v="161"/>
    <n v="110.51"/>
    <s v="$530,832,908,738 "/>
    <n v="82.5"/>
    <n v="27.9"/>
    <n v="49.1"/>
    <n v="10285453"/>
  </r>
  <r>
    <n v="411"/>
    <x v="387"/>
    <x v="35"/>
    <s v="Amsterdam"/>
    <x v="204"/>
    <x v="14"/>
    <b v="1"/>
    <s v="M"/>
    <s v="Frits"/>
    <s v="Goldschmeding"/>
    <x v="161"/>
    <n v="115.91"/>
    <s v="$909,070,395,161 "/>
    <n v="81.8"/>
    <n v="23"/>
    <n v="41.2"/>
    <n v="17332850"/>
  </r>
  <r>
    <n v="411"/>
    <x v="388"/>
    <x v="5"/>
    <s v="Shenzhen"/>
    <x v="170"/>
    <x v="7"/>
    <b v="1"/>
    <s v="M"/>
    <s v="Muqin"/>
    <s v="Lin"/>
    <x v="161"/>
    <n v="125.08"/>
    <s v="$19,910,000,000,000 "/>
    <n v="77"/>
    <n v="9.4"/>
    <n v="59.2"/>
    <n v="1397715000"/>
  </r>
  <r>
    <n v="411"/>
    <x v="389"/>
    <x v="5"/>
    <s v="Ningbo"/>
    <x v="205"/>
    <x v="10"/>
    <b v="1"/>
    <s v="M"/>
    <s v="Liping"/>
    <s v="Ruan"/>
    <x v="161"/>
    <n v="125.08"/>
    <s v="$19,910,000,000,000 "/>
    <n v="77"/>
    <n v="9.4"/>
    <n v="59.2"/>
    <n v="1397715000"/>
  </r>
  <r>
    <n v="411"/>
    <x v="390"/>
    <x v="5"/>
    <s v="Ningbo"/>
    <x v="206"/>
    <x v="10"/>
    <b v="1"/>
    <s v="M"/>
    <s v="Xueping"/>
    <s v="Ruan"/>
    <x v="161"/>
    <n v="125.08"/>
    <s v="$19,910,000,000,000 "/>
    <n v="77"/>
    <n v="9.4"/>
    <n v="59.2"/>
    <n v="1397715000"/>
  </r>
  <r>
    <n v="411"/>
    <x v="391"/>
    <x v="36"/>
    <s v="Kielce"/>
    <x v="37"/>
    <x v="3"/>
    <b v="1"/>
    <s v="M"/>
    <s v="Michal"/>
    <s v="Solowow"/>
    <x v="161"/>
    <n v="114.11"/>
    <s v="$592,164,400,688 "/>
    <n v="77.599999999999994"/>
    <n v="17.399999999999999"/>
    <n v="40.799999999999997"/>
    <n v="37970874"/>
  </r>
  <r>
    <n v="418"/>
    <x v="392"/>
    <x v="22"/>
    <s v="Lagos"/>
    <x v="207"/>
    <x v="6"/>
    <b v="1"/>
    <s v="M"/>
    <s v="Mike"/>
    <s v="Adenuga"/>
    <x v="162"/>
    <n v="267.51"/>
    <s v="$448,120,428,859 "/>
    <n v="54.3"/>
    <n v="1.5"/>
    <n v="34.799999999999997"/>
    <n v="200963599"/>
  </r>
  <r>
    <n v="418"/>
    <x v="393"/>
    <x v="1"/>
    <s v="Beverly Hills"/>
    <x v="116"/>
    <x v="3"/>
    <b v="1"/>
    <s v="M"/>
    <s v="Tom"/>
    <s v="Gores"/>
    <x v="162"/>
    <n v="117.24"/>
    <s v="$21,427,700,000,000 "/>
    <n v="78.5"/>
    <n v="9.6"/>
    <n v="36.6"/>
    <n v="328239523"/>
  </r>
  <r>
    <n v="418"/>
    <x v="394"/>
    <x v="7"/>
    <s v="Hamburg"/>
    <x v="208"/>
    <x v="0"/>
    <b v="0"/>
    <s v="M"/>
    <s v="Michael"/>
    <s v="Herz"/>
    <x v="162"/>
    <n v="112.85"/>
    <s v="$3,845,630,030,824 "/>
    <n v="80.900000000000006"/>
    <n v="11.5"/>
    <n v="48.8"/>
    <n v="83132799"/>
  </r>
  <r>
    <n v="418"/>
    <x v="395"/>
    <x v="7"/>
    <s v="Hamburg"/>
    <x v="208"/>
    <x v="0"/>
    <b v="0"/>
    <s v="M"/>
    <s v="Wolfgang"/>
    <s v="Herz"/>
    <x v="162"/>
    <n v="112.85"/>
    <s v="$3,845,630,030,824 "/>
    <n v="80.900000000000006"/>
    <n v="11.5"/>
    <n v="48.8"/>
    <n v="83132799"/>
  </r>
  <r>
    <n v="425"/>
    <x v="396"/>
    <x v="16"/>
    <s v="Moscow"/>
    <x v="209"/>
    <x v="11"/>
    <b v="1"/>
    <s v="M"/>
    <s v="Alexander"/>
    <s v="Abramov"/>
    <x v="163"/>
    <n v="180.75"/>
    <s v="$1,699,876,578,871 "/>
    <n v="72.7"/>
    <n v="11.4"/>
    <n v="46.2"/>
    <n v="144373535"/>
  </r>
  <r>
    <n v="425"/>
    <x v="397"/>
    <x v="1"/>
    <s v="Chicago"/>
    <x v="71"/>
    <x v="15"/>
    <b v="1"/>
    <s v="M"/>
    <s v="Neil"/>
    <s v="Bluhm"/>
    <x v="163"/>
    <n v="117.24"/>
    <s v="$21,427,700,000,000 "/>
    <n v="78.5"/>
    <n v="9.6"/>
    <n v="36.6"/>
    <n v="328239523"/>
  </r>
  <r>
    <n v="425"/>
    <x v="398"/>
    <x v="6"/>
    <s v="Montreal"/>
    <x v="210"/>
    <x v="0"/>
    <b v="1"/>
    <s v="M"/>
    <s v="Alain"/>
    <s v="Bouchard"/>
    <x v="163"/>
    <n v="116.76"/>
    <s v="$1,736,425,629,520 "/>
    <n v="81.900000000000006"/>
    <n v="12.8"/>
    <n v="24.5"/>
    <n v="36991981"/>
  </r>
  <r>
    <n v="425"/>
    <x v="399"/>
    <x v="1"/>
    <s v="Reno"/>
    <x v="211"/>
    <x v="2"/>
    <b v="1"/>
    <s v="M"/>
    <s v="Jay"/>
    <s v="Chaudhry"/>
    <x v="163"/>
    <n v="117.24"/>
    <s v="$21,427,700,000,000 "/>
    <n v="78.5"/>
    <n v="9.6"/>
    <n v="36.6"/>
    <n v="328239523"/>
  </r>
  <r>
    <n v="425"/>
    <x v="400"/>
    <x v="3"/>
    <s v="Mumbai"/>
    <x v="83"/>
    <x v="0"/>
    <b v="1"/>
    <s v="M"/>
    <s v="Gopikishan"/>
    <s v="Damani"/>
    <x v="163"/>
    <n v="180.44"/>
    <s v="$2,611,000,000,000 "/>
    <n v="69.400000000000006"/>
    <n v="11.2"/>
    <n v="49.7"/>
    <n v="1366417754"/>
  </r>
  <r>
    <n v="425"/>
    <x v="401"/>
    <x v="20"/>
    <s v="Bangkok"/>
    <x v="8"/>
    <x v="6"/>
    <b v="0"/>
    <s v="M"/>
    <s v="Sumet"/>
    <s v="Jiaravanon"/>
    <x v="163"/>
    <n v="113.27"/>
    <s v="$543,649,976,166 "/>
    <n v="76.900000000000006"/>
    <n v="14.9"/>
    <n v="29.5"/>
    <n v="69625582"/>
  </r>
  <r>
    <n v="425"/>
    <x v="402"/>
    <x v="23"/>
    <s v="Tel Aviv"/>
    <x v="37"/>
    <x v="3"/>
    <b v="1"/>
    <s v="M"/>
    <s v="Frank"/>
    <s v="Lowy"/>
    <x v="163"/>
    <n v="108.15"/>
    <s v="$395,098,666,122 "/>
    <n v="82.8"/>
    <n v="23.1"/>
    <n v="25.3"/>
    <n v="9053300"/>
  </r>
  <r>
    <n v="425"/>
    <x v="403"/>
    <x v="1"/>
    <s v="Los Angeles"/>
    <x v="37"/>
    <x v="3"/>
    <b v="1"/>
    <s v="M"/>
    <s v="Michael"/>
    <s v="Milken"/>
    <x v="163"/>
    <n v="117.24"/>
    <s v="$21,427,700,000,000 "/>
    <n v="78.5"/>
    <n v="9.6"/>
    <n v="36.6"/>
    <n v="328239523"/>
  </r>
  <r>
    <n v="425"/>
    <x v="404"/>
    <x v="1"/>
    <s v="St. Louis"/>
    <x v="212"/>
    <x v="2"/>
    <b v="1"/>
    <s v="M"/>
    <s v="David"/>
    <s v="Steward"/>
    <x v="163"/>
    <n v="117.24"/>
    <s v="$21,427,700,000,000 "/>
    <n v="78.5"/>
    <n v="9.6"/>
    <n v="36.6"/>
    <n v="328239523"/>
  </r>
  <r>
    <n v="425"/>
    <x v="405"/>
    <x v="1"/>
    <s v="New Albany"/>
    <x v="21"/>
    <x v="0"/>
    <b v="1"/>
    <s v="M"/>
    <s v="Les"/>
    <s v="Wexner"/>
    <x v="163"/>
    <n v="117.24"/>
    <s v="$21,427,700,000,000 "/>
    <n v="78.5"/>
    <n v="9.6"/>
    <n v="36.6"/>
    <n v="328239523"/>
  </r>
  <r>
    <n v="437"/>
    <x v="406"/>
    <x v="5"/>
    <s v="Chengdu"/>
    <x v="71"/>
    <x v="15"/>
    <b v="1"/>
    <s v="M"/>
    <s v="Kui"/>
    <s v="Cai"/>
    <x v="164"/>
    <n v="125.08"/>
    <s v="$19,910,000,000,000 "/>
    <n v="77"/>
    <n v="9.4"/>
    <n v="59.2"/>
    <n v="1397715000"/>
  </r>
  <r>
    <n v="437"/>
    <x v="407"/>
    <x v="20"/>
    <s v="Bangkok"/>
    <x v="8"/>
    <x v="6"/>
    <b v="0"/>
    <s v="M"/>
    <s v="Jaran"/>
    <s v="Chiaravanont"/>
    <x v="164"/>
    <n v="113.27"/>
    <s v="$543,649,976,166 "/>
    <n v="76.900000000000006"/>
    <n v="14.9"/>
    <n v="29.5"/>
    <n v="69625582"/>
  </r>
  <r>
    <n v="437"/>
    <x v="408"/>
    <x v="1"/>
    <s v="Darien"/>
    <x v="28"/>
    <x v="3"/>
    <b v="1"/>
    <s v="M"/>
    <s v="Andreas"/>
    <s v="Halvorsen"/>
    <x v="164"/>
    <n v="117.24"/>
    <s v="$21,427,700,000,000 "/>
    <n v="78.5"/>
    <n v="9.6"/>
    <n v="36.6"/>
    <n v="328239523"/>
  </r>
  <r>
    <n v="437"/>
    <x v="409"/>
    <x v="1"/>
    <s v="Los Angeles"/>
    <x v="213"/>
    <x v="3"/>
    <b v="1"/>
    <s v="M"/>
    <s v="Antony"/>
    <s v="Ressler"/>
    <x v="164"/>
    <n v="117.24"/>
    <s v="$21,427,700,000,000 "/>
    <n v="78.5"/>
    <n v="9.6"/>
    <n v="36.6"/>
    <n v="328239523"/>
  </r>
  <r>
    <n v="437"/>
    <x v="410"/>
    <x v="5"/>
    <s v="Shanghai"/>
    <x v="214"/>
    <x v="7"/>
    <b v="0"/>
    <s v="M"/>
    <s v="Eng-meng"/>
    <s v="Tsai"/>
    <x v="164"/>
    <n v="125.08"/>
    <s v="$19,910,000,000,000 "/>
    <n v="77"/>
    <n v="9.4"/>
    <n v="59.2"/>
    <n v="1397715000"/>
  </r>
  <r>
    <n v="442"/>
    <x v="411"/>
    <x v="1"/>
    <s v="Miami"/>
    <x v="116"/>
    <x v="3"/>
    <b v="1"/>
    <s v="M"/>
    <s v="Josh"/>
    <s v="Harris"/>
    <x v="165"/>
    <n v="117.24"/>
    <s v="$21,427,700,000,000 "/>
    <n v="78.5"/>
    <n v="9.6"/>
    <n v="36.6"/>
    <n v="328239523"/>
  </r>
  <r>
    <n v="442"/>
    <x v="412"/>
    <x v="33"/>
    <s v="Humlebaek"/>
    <x v="77"/>
    <x v="13"/>
    <b v="0"/>
    <s v="M"/>
    <s v="Niels Peter"/>
    <s v="Louis-Hansen"/>
    <x v="165"/>
    <n v="110.35"/>
    <s v="$348,078,018,464 "/>
    <n v="81"/>
    <n v="32.4"/>
    <n v="23.8"/>
    <n v="5818553"/>
  </r>
  <r>
    <n v="442"/>
    <x v="413"/>
    <x v="1"/>
    <s v="Los Angeles"/>
    <x v="81"/>
    <x v="13"/>
    <b v="1"/>
    <s v="M"/>
    <s v="Patrick"/>
    <s v="Soon-Shiong"/>
    <x v="165"/>
    <n v="117.24"/>
    <s v="$21,427,700,000,000 "/>
    <n v="78.5"/>
    <n v="9.6"/>
    <n v="36.6"/>
    <n v="328239523"/>
  </r>
  <r>
    <n v="445"/>
    <x v="414"/>
    <x v="37"/>
    <s v="Donetsk"/>
    <x v="215"/>
    <x v="11"/>
    <b v="1"/>
    <s v="M"/>
    <s v="Rinat"/>
    <s v="Akhmetov"/>
    <x v="166"/>
    <n v="281.66000000000003"/>
    <s v="$153,781,069,118 "/>
    <n v="71.599999999999994"/>
    <n v="20.100000000000001"/>
    <n v="45.2"/>
    <n v="44385155"/>
  </r>
  <r>
    <n v="445"/>
    <x v="415"/>
    <x v="1"/>
    <s v="Atlanta"/>
    <x v="184"/>
    <x v="13"/>
    <b v="1"/>
    <s v="M"/>
    <s v="John"/>
    <s v="Brown"/>
    <x v="166"/>
    <n v="117.24"/>
    <s v="$21,427,700,000,000 "/>
    <n v="78.5"/>
    <n v="9.6"/>
    <n v="36.6"/>
    <n v="328239523"/>
  </r>
  <r>
    <n v="445"/>
    <x v="416"/>
    <x v="6"/>
    <s v="Saint John"/>
    <x v="61"/>
    <x v="12"/>
    <b v="0"/>
    <s v="M"/>
    <s v="Arthur"/>
    <s v="Irving"/>
    <x v="166"/>
    <n v="116.76"/>
    <s v="$1,736,425,629,520 "/>
    <n v="81.900000000000006"/>
    <n v="12.8"/>
    <n v="24.5"/>
    <n v="36991981"/>
  </r>
  <r>
    <n v="445"/>
    <x v="417"/>
    <x v="19"/>
    <s v="Stockholm"/>
    <x v="165"/>
    <x v="15"/>
    <b v="0"/>
    <s v="M"/>
    <s v="Fredrik"/>
    <s v="Lundberg"/>
    <x v="166"/>
    <n v="110.51"/>
    <s v="$530,832,908,738 "/>
    <n v="82.5"/>
    <n v="27.9"/>
    <n v="49.1"/>
    <n v="10285453"/>
  </r>
  <r>
    <n v="445"/>
    <x v="418"/>
    <x v="8"/>
    <s v="Jona"/>
    <x v="161"/>
    <x v="16"/>
    <b v="0"/>
    <s v="M"/>
    <s v="Thomas"/>
    <s v="Schmidheiny"/>
    <x v="166"/>
    <n v="99.55"/>
    <s v="$703,082,435,360 "/>
    <n v="83.6"/>
    <n v="10.1"/>
    <n v="28.8"/>
    <n v="8574832"/>
  </r>
  <r>
    <n v="445"/>
    <x v="419"/>
    <x v="1"/>
    <s v="New York"/>
    <x v="37"/>
    <x v="3"/>
    <b v="0"/>
    <s v="M"/>
    <s v="Daniel"/>
    <s v="Ziff"/>
    <x v="166"/>
    <n v="117.24"/>
    <s v="$21,427,700,000,000 "/>
    <n v="78.5"/>
    <n v="9.6"/>
    <n v="36.6"/>
    <n v="328239523"/>
  </r>
  <r>
    <n v="445"/>
    <x v="420"/>
    <x v="1"/>
    <s v="North Palm Beach"/>
    <x v="37"/>
    <x v="3"/>
    <b v="0"/>
    <s v="M"/>
    <s v="Dirk"/>
    <s v="Ziff"/>
    <x v="166"/>
    <n v="117.24"/>
    <s v="$21,427,700,000,000 "/>
    <n v="78.5"/>
    <n v="9.6"/>
    <n v="36.6"/>
    <n v="328239523"/>
  </r>
  <r>
    <n v="445"/>
    <x v="421"/>
    <x v="1"/>
    <s v="New York"/>
    <x v="37"/>
    <x v="3"/>
    <b v="0"/>
    <s v="M"/>
    <s v="Robert"/>
    <s v="Ziff"/>
    <x v="166"/>
    <n v="117.24"/>
    <s v="$21,427,700,000,000 "/>
    <n v="78.5"/>
    <n v="9.6"/>
    <n v="36.6"/>
    <n v="328239523"/>
  </r>
  <r>
    <n v="455"/>
    <x v="422"/>
    <x v="1"/>
    <s v="Dallas"/>
    <x v="216"/>
    <x v="12"/>
    <b v="0"/>
    <s v="M"/>
    <s v="Ray Lee"/>
    <s v="Hunt"/>
    <x v="167"/>
    <n v="117.24"/>
    <s v="$21,427,700,000,000 "/>
    <n v="78.5"/>
    <n v="9.6"/>
    <n v="36.6"/>
    <n v="328239523"/>
  </r>
  <r>
    <n v="455"/>
    <x v="423"/>
    <x v="5"/>
    <s v="Shanghai"/>
    <x v="56"/>
    <x v="8"/>
    <b v="1"/>
    <s v="M"/>
    <s v="Meisong"/>
    <s v="Lai"/>
    <x v="167"/>
    <n v="125.08"/>
    <s v="$19,910,000,000,000 "/>
    <n v="77"/>
    <n v="9.4"/>
    <n v="59.2"/>
    <n v="1397715000"/>
  </r>
  <r>
    <n v="455"/>
    <x v="424"/>
    <x v="3"/>
    <s v="Delhi"/>
    <x v="217"/>
    <x v="1"/>
    <b v="0"/>
    <s v="M"/>
    <s v="Vikram"/>
    <s v="Lal"/>
    <x v="167"/>
    <n v="180.44"/>
    <s v="$2,611,000,000,000 "/>
    <n v="69.400000000000006"/>
    <n v="11.2"/>
    <n v="49.7"/>
    <n v="1366417754"/>
  </r>
  <r>
    <n v="455"/>
    <x v="425"/>
    <x v="1"/>
    <s v="Sands Point"/>
    <x v="37"/>
    <x v="3"/>
    <b v="1"/>
    <s v="M"/>
    <s v="Ken"/>
    <s v="Langone"/>
    <x v="167"/>
    <n v="117.24"/>
    <s v="$21,427,700,000,000 "/>
    <n v="78.5"/>
    <n v="9.6"/>
    <n v="36.6"/>
    <n v="328239523"/>
  </r>
  <r>
    <n v="455"/>
    <x v="426"/>
    <x v="5"/>
    <s v="Shanghai"/>
    <x v="218"/>
    <x v="13"/>
    <b v="1"/>
    <s v="M"/>
    <s v="Ge"/>
    <s v="Li"/>
    <x v="167"/>
    <n v="125.08"/>
    <s v="$19,910,000,000,000 "/>
    <n v="77"/>
    <n v="9.4"/>
    <n v="59.2"/>
    <n v="1397715000"/>
  </r>
  <r>
    <n v="455"/>
    <x v="427"/>
    <x v="1"/>
    <s v="Branford"/>
    <x v="219"/>
    <x v="3"/>
    <b v="0"/>
    <s v="F"/>
    <s v="Karen"/>
    <s v="Pritzker"/>
    <x v="167"/>
    <n v="117.24"/>
    <s v="$21,427,700,000,000 "/>
    <n v="78.5"/>
    <n v="9.6"/>
    <n v="36.6"/>
    <n v="328239523"/>
  </r>
  <r>
    <n v="455"/>
    <x v="428"/>
    <x v="1"/>
    <s v="Dallas"/>
    <x v="219"/>
    <x v="14"/>
    <b v="0"/>
    <s v="M"/>
    <s v="Robert"/>
    <s v="Rowling"/>
    <x v="167"/>
    <n v="117.24"/>
    <s v="$21,427,700,000,000 "/>
    <n v="78.5"/>
    <n v="9.6"/>
    <n v="36.6"/>
    <n v="328239523"/>
  </r>
  <r>
    <n v="455"/>
    <x v="429"/>
    <x v="23"/>
    <s v="Tel Aviv"/>
    <x v="220"/>
    <x v="9"/>
    <b v="1"/>
    <s v="M"/>
    <s v="Teddy"/>
    <s v="Sagi"/>
    <x v="167"/>
    <n v="108.15"/>
    <s v="$395,098,666,122 "/>
    <n v="82.8"/>
    <n v="23.1"/>
    <n v="25.3"/>
    <n v="9053300"/>
  </r>
  <r>
    <n v="455"/>
    <x v="430"/>
    <x v="28"/>
    <s v="Seoul"/>
    <x v="221"/>
    <x v="13"/>
    <b v="1"/>
    <s v="M"/>
    <s v="Jung-jin"/>
    <s v="Seo"/>
    <x v="167"/>
    <n v="115.16"/>
    <s v="$2,029,000,000,000 "/>
    <n v="82.6"/>
    <n v="15.6"/>
    <n v="33.200000000000003"/>
    <n v="51709098"/>
  </r>
  <r>
    <n v="455"/>
    <x v="431"/>
    <x v="5"/>
    <s v="Ningbo"/>
    <x v="97"/>
    <x v="1"/>
    <b v="1"/>
    <s v="M"/>
    <s v="Jianshu"/>
    <s v="Wu"/>
    <x v="167"/>
    <n v="125.08"/>
    <s v="$19,910,000,000,000 "/>
    <n v="77"/>
    <n v="9.4"/>
    <n v="59.2"/>
    <n v="1397715000"/>
  </r>
  <r>
    <n v="466"/>
    <x v="432"/>
    <x v="1"/>
    <s v="Bal Harbour"/>
    <x v="222"/>
    <x v="14"/>
    <b v="0"/>
    <s v="M"/>
    <s v="Micky"/>
    <s v="Arison"/>
    <x v="168"/>
    <n v="117.24"/>
    <s v="$21,427,700,000,000 "/>
    <n v="78.5"/>
    <n v="9.6"/>
    <n v="36.6"/>
    <n v="328239523"/>
  </r>
  <r>
    <n v="466"/>
    <x v="433"/>
    <x v="1"/>
    <s v="Palisades"/>
    <x v="136"/>
    <x v="4"/>
    <b v="0"/>
    <s v="M"/>
    <s v="James"/>
    <s v="Chambers"/>
    <x v="168"/>
    <n v="117.24"/>
    <s v="$21,427,700,000,000 "/>
    <n v="78.5"/>
    <n v="9.6"/>
    <n v="36.6"/>
    <n v="328239523"/>
  </r>
  <r>
    <n v="466"/>
    <x v="434"/>
    <x v="1"/>
    <s v="San Francisco"/>
    <x v="223"/>
    <x v="2"/>
    <b v="1"/>
    <s v="M"/>
    <s v="John"/>
    <s v="Collison"/>
    <x v="168"/>
    <n v="117.24"/>
    <s v="$21,427,700,000,000 "/>
    <n v="78.5"/>
    <n v="9.6"/>
    <n v="36.6"/>
    <n v="328239523"/>
  </r>
  <r>
    <n v="466"/>
    <x v="435"/>
    <x v="1"/>
    <s v="San Francisco"/>
    <x v="224"/>
    <x v="2"/>
    <b v="1"/>
    <s v="M"/>
    <s v="Patrick"/>
    <s v="Collison"/>
    <x v="168"/>
    <n v="117.24"/>
    <s v="$21,427,700,000,000 "/>
    <n v="78.5"/>
    <n v="9.6"/>
    <n v="36.6"/>
    <n v="328239523"/>
  </r>
  <r>
    <n v="466"/>
    <x v="436"/>
    <x v="1"/>
    <s v="Redding"/>
    <x v="225"/>
    <x v="10"/>
    <b v="1"/>
    <s v="M"/>
    <s v="Archie Aldis"/>
    <s v="Emmerson"/>
    <x v="168"/>
    <n v="117.24"/>
    <s v="$21,427,700,000,000 "/>
    <n v="78.5"/>
    <n v="9.6"/>
    <n v="36.6"/>
    <n v="328239523"/>
  </r>
  <r>
    <n v="466"/>
    <x v="437"/>
    <x v="24"/>
    <s v="Modena"/>
    <x v="63"/>
    <x v="1"/>
    <b v="0"/>
    <s v="M"/>
    <s v="Piero"/>
    <s v="Ferrari"/>
    <x v="168"/>
    <n v="110.62"/>
    <s v="$2,001,244,392,042 "/>
    <n v="82.9"/>
    <n v="24.3"/>
    <n v="59.1"/>
    <n v="60297396"/>
  </r>
  <r>
    <n v="466"/>
    <x v="438"/>
    <x v="1"/>
    <s v="Houston"/>
    <x v="226"/>
    <x v="1"/>
    <b v="0"/>
    <s v="M"/>
    <s v="Dan"/>
    <s v="Friedkin"/>
    <x v="168"/>
    <n v="117.24"/>
    <s v="$21,427,700,000,000 "/>
    <n v="78.5"/>
    <n v="9.6"/>
    <n v="36.6"/>
    <n v="328239523"/>
  </r>
  <r>
    <n v="466"/>
    <x v="439"/>
    <x v="6"/>
    <s v="Saint John"/>
    <x v="8"/>
    <x v="6"/>
    <b v="0"/>
    <s v="M"/>
    <s v="James"/>
    <s v="Irving"/>
    <x v="168"/>
    <n v="116.76"/>
    <s v="$1,736,425,629,520 "/>
    <n v="81.900000000000006"/>
    <n v="12.8"/>
    <n v="24.5"/>
    <n v="36991981"/>
  </r>
  <r>
    <n v="466"/>
    <x v="440"/>
    <x v="5"/>
    <s v="Chengdu"/>
    <x v="49"/>
    <x v="10"/>
    <b v="1"/>
    <s v="M"/>
    <s v="Weiping"/>
    <s v="Jiang"/>
    <x v="168"/>
    <n v="125.08"/>
    <s v="$19,910,000,000,000 "/>
    <n v="77"/>
    <n v="9.4"/>
    <n v="59.2"/>
    <n v="1397715000"/>
  </r>
  <r>
    <n v="466"/>
    <x v="441"/>
    <x v="7"/>
    <s v="Heidelberg"/>
    <x v="81"/>
    <x v="13"/>
    <b v="1"/>
    <s v="M"/>
    <s v="Wolfgang"/>
    <s v="Marguerre"/>
    <x v="168"/>
    <n v="112.85"/>
    <s v="$3,845,630,030,824 "/>
    <n v="80.900000000000006"/>
    <n v="11.5"/>
    <n v="48.8"/>
    <n v="83132799"/>
  </r>
  <r>
    <n v="466"/>
    <x v="442"/>
    <x v="7"/>
    <s v="Ulm"/>
    <x v="81"/>
    <x v="3"/>
    <b v="0"/>
    <s v="M"/>
    <s v="Ludwig"/>
    <s v="Merckle"/>
    <x v="168"/>
    <n v="112.85"/>
    <s v="$3,845,630,030,824 "/>
    <n v="80.900000000000006"/>
    <n v="11.5"/>
    <n v="48.8"/>
    <n v="83132799"/>
  </r>
  <r>
    <n v="466"/>
    <x v="443"/>
    <x v="1"/>
    <s v="Potomac"/>
    <x v="158"/>
    <x v="10"/>
    <b v="1"/>
    <s v="M"/>
    <s v="Mitchell"/>
    <s v="Rales"/>
    <x v="168"/>
    <n v="117.24"/>
    <s v="$21,427,700,000,000 "/>
    <n v="78.5"/>
    <n v="9.6"/>
    <n v="36.6"/>
    <n v="328239523"/>
  </r>
  <r>
    <n v="466"/>
    <x v="444"/>
    <x v="1"/>
    <s v="East Hampton"/>
    <x v="136"/>
    <x v="4"/>
    <b v="0"/>
    <s v="F"/>
    <s v="Katharine"/>
    <s v="Rayner"/>
    <x v="168"/>
    <n v="117.24"/>
    <s v="$21,427,700,000,000 "/>
    <n v="78.5"/>
    <n v="9.6"/>
    <n v="36.6"/>
    <n v="328239523"/>
  </r>
  <r>
    <n v="466"/>
    <x v="445"/>
    <x v="1"/>
    <s v="New York"/>
    <x v="28"/>
    <x v="3"/>
    <b v="1"/>
    <s v="M"/>
    <s v="Paul"/>
    <s v="Singer"/>
    <x v="168"/>
    <n v="117.24"/>
    <s v="$21,427,700,000,000 "/>
    <n v="78.5"/>
    <n v="9.6"/>
    <n v="36.6"/>
    <n v="328239523"/>
  </r>
  <r>
    <n v="466"/>
    <x v="446"/>
    <x v="24"/>
    <s v="Venice"/>
    <x v="227"/>
    <x v="13"/>
    <b v="1"/>
    <s v="M"/>
    <s v="Sergio"/>
    <s v="Stevanato"/>
    <x v="168"/>
    <n v="110.62"/>
    <s v="$2,001,244,392,042 "/>
    <n v="82.9"/>
    <n v="24.3"/>
    <n v="59.1"/>
    <n v="60297396"/>
  </r>
  <r>
    <n v="466"/>
    <x v="447"/>
    <x v="1"/>
    <s v="Southampton"/>
    <x v="136"/>
    <x v="4"/>
    <b v="0"/>
    <s v="F"/>
    <s v="Margaretta"/>
    <s v="Taylor"/>
    <x v="168"/>
    <n v="117.24"/>
    <s v="$21,427,700,000,000 "/>
    <n v="78.5"/>
    <n v="9.6"/>
    <n v="36.6"/>
    <n v="328239523"/>
  </r>
  <r>
    <n v="466"/>
    <x v="448"/>
    <x v="13"/>
    <s v="Sydney"/>
    <x v="111"/>
    <x v="2"/>
    <b v="1"/>
    <s v="M"/>
    <s v="Richard"/>
    <s v="White"/>
    <x v="168"/>
    <n v="119.8"/>
    <s v="$1,392,680,589,329 "/>
    <n v="82.7"/>
    <n v="23"/>
    <n v="47.4"/>
    <n v="25766605"/>
  </r>
  <r>
    <n v="466"/>
    <x v="449"/>
    <x v="5"/>
    <s v="Beijing"/>
    <x v="221"/>
    <x v="6"/>
    <b v="1"/>
    <s v="F"/>
    <s v="Yan"/>
    <s v="Zhao"/>
    <x v="168"/>
    <n v="125.08"/>
    <s v="$19,910,000,000,000 "/>
    <n v="77"/>
    <n v="9.4"/>
    <n v="59.2"/>
    <n v="1397715000"/>
  </r>
  <r>
    <n v="486"/>
    <x v="450"/>
    <x v="24"/>
    <s v="Milan"/>
    <x v="22"/>
    <x v="0"/>
    <b v="1"/>
    <s v="M"/>
    <s v="Patrizio"/>
    <s v="Bertelli"/>
    <x v="169"/>
    <n v="110.62"/>
    <s v="$2,001,244,392,042 "/>
    <n v="82.9"/>
    <n v="24.3"/>
    <n v="59.1"/>
    <n v="60297396"/>
  </r>
  <r>
    <n v="486"/>
    <x v="451"/>
    <x v="3"/>
    <s v="Mumbai"/>
    <x v="86"/>
    <x v="10"/>
    <b v="0"/>
    <s v="M"/>
    <s v="Mahendra"/>
    <s v="Choksi"/>
    <x v="169"/>
    <n v="180.44"/>
    <s v="$2,611,000,000,000 "/>
    <n v="69.400000000000006"/>
    <n v="11.2"/>
    <n v="49.7"/>
    <n v="1366417754"/>
  </r>
  <r>
    <n v="486"/>
    <x v="452"/>
    <x v="1"/>
    <s v="Bloomfield Hills"/>
    <x v="228"/>
    <x v="3"/>
    <b v="0"/>
    <s v="M"/>
    <s v="Mat"/>
    <s v="Ishbia"/>
    <x v="169"/>
    <n v="117.24"/>
    <s v="$21,427,700,000,000 "/>
    <n v="78.5"/>
    <n v="9.6"/>
    <n v="36.6"/>
    <n v="328239523"/>
  </r>
  <r>
    <n v="486"/>
    <x v="453"/>
    <x v="21"/>
    <s v="Singapore"/>
    <x v="212"/>
    <x v="2"/>
    <b v="1"/>
    <s v="M"/>
    <s v="Leo"/>
    <s v="Koguan"/>
    <x v="169"/>
    <n v="114.41"/>
    <s v="$372,062,527,489 "/>
    <n v="83.1"/>
    <n v="13.1"/>
    <n v="21"/>
    <n v="5703569"/>
  </r>
  <r>
    <n v="486"/>
    <x v="454"/>
    <x v="5"/>
    <s v="Suzhou"/>
    <x v="229"/>
    <x v="6"/>
    <b v="1"/>
    <s v="M"/>
    <s v="Hangen"/>
    <s v="Miao"/>
    <x v="169"/>
    <n v="125.08"/>
    <s v="$19,910,000,000,000 "/>
    <n v="77"/>
    <n v="9.4"/>
    <n v="59.2"/>
    <n v="1397715000"/>
  </r>
  <r>
    <n v="486"/>
    <x v="455"/>
    <x v="8"/>
    <s v="Lucerne"/>
    <x v="230"/>
    <x v="10"/>
    <b v="1"/>
    <s v="M"/>
    <s v="Michael"/>
    <s v="Pieper"/>
    <x v="169"/>
    <n v="99.55"/>
    <s v="$703,082,435,360 "/>
    <n v="83.6"/>
    <n v="10.1"/>
    <n v="28.8"/>
    <n v="8574832"/>
  </r>
  <r>
    <n v="486"/>
    <x v="456"/>
    <x v="24"/>
    <s v="Milan"/>
    <x v="22"/>
    <x v="0"/>
    <b v="0"/>
    <s v="F"/>
    <s v="Miuccia"/>
    <s v="Prada"/>
    <x v="169"/>
    <n v="110.62"/>
    <s v="$2,001,244,392,042 "/>
    <n v="82.9"/>
    <n v="24.3"/>
    <n v="59.1"/>
    <n v="60297396"/>
  </r>
  <r>
    <n v="486"/>
    <x v="457"/>
    <x v="7"/>
    <s v="Passau"/>
    <x v="231"/>
    <x v="0"/>
    <b v="0"/>
    <s v="M"/>
    <s v="Wolfgang"/>
    <s v="Reimann"/>
    <x v="169"/>
    <n v="112.85"/>
    <s v="$3,845,630,030,824 "/>
    <n v="80.900000000000006"/>
    <n v="11.5"/>
    <n v="48.8"/>
    <n v="83132799"/>
  </r>
  <r>
    <n v="486"/>
    <x v="458"/>
    <x v="7"/>
    <s v="Munich"/>
    <x v="231"/>
    <x v="0"/>
    <b v="0"/>
    <s v="M"/>
    <s v="Matthias"/>
    <s v="Reimann-Andersen"/>
    <x v="169"/>
    <n v="112.85"/>
    <s v="$3,845,630,030,824 "/>
    <n v="80.900000000000006"/>
    <n v="11.5"/>
    <n v="48.8"/>
    <n v="83132799"/>
  </r>
  <r>
    <n v="486"/>
    <x v="459"/>
    <x v="10"/>
    <s v="Vienna"/>
    <x v="231"/>
    <x v="0"/>
    <b v="0"/>
    <s v="M"/>
    <s v="Stefan"/>
    <s v="Reimann-Andersen"/>
    <x v="169"/>
    <n v="118.06"/>
    <s v="$446,314,739,528 "/>
    <n v="81.599999999999994"/>
    <n v="25.4"/>
    <n v="51.4"/>
    <n v="8877067"/>
  </r>
  <r>
    <n v="486"/>
    <x v="460"/>
    <x v="10"/>
    <s v="Vienna"/>
    <x v="231"/>
    <x v="0"/>
    <b v="0"/>
    <s v="F"/>
    <s v="Renate"/>
    <s v="Reimann-Haas"/>
    <x v="169"/>
    <n v="118.06"/>
    <s v="$446,314,739,528 "/>
    <n v="81.599999999999994"/>
    <n v="25.4"/>
    <n v="51.4"/>
    <n v="8877067"/>
  </r>
  <r>
    <n v="497"/>
    <x v="461"/>
    <x v="1"/>
    <s v="Darien"/>
    <x v="213"/>
    <x v="3"/>
    <b v="1"/>
    <s v="M"/>
    <s v="Todd"/>
    <s v="Boehly"/>
    <x v="170"/>
    <n v="117.24"/>
    <s v="$21,427,700,000,000 "/>
    <n v="78.5"/>
    <n v="9.6"/>
    <n v="36.6"/>
    <n v="328239523"/>
  </r>
  <r>
    <n v="497"/>
    <x v="462"/>
    <x v="1"/>
    <s v="Los Angeles"/>
    <x v="71"/>
    <x v="15"/>
    <b v="1"/>
    <s v="M"/>
    <s v="Rick"/>
    <s v="Caruso"/>
    <x v="170"/>
    <n v="117.24"/>
    <s v="$21,427,700,000,000 "/>
    <n v="78.5"/>
    <n v="9.6"/>
    <n v="36.6"/>
    <n v="328239523"/>
  </r>
  <r>
    <n v="497"/>
    <x v="463"/>
    <x v="38"/>
    <s v="Istanbul"/>
    <x v="232"/>
    <x v="10"/>
    <b v="1"/>
    <s v="M"/>
    <s v="Ibrahim"/>
    <s v="Erdemoglu"/>
    <x v="170"/>
    <n v="234.44"/>
    <s v="$754,411,708,203 "/>
    <n v="77.400000000000006"/>
    <n v="17.899999999999999"/>
    <n v="42.3"/>
    <n v="83429615"/>
  </r>
  <r>
    <n v="497"/>
    <x v="464"/>
    <x v="1"/>
    <s v="Boston"/>
    <x v="54"/>
    <x v="3"/>
    <b v="0"/>
    <s v="F"/>
    <s v="Elizabeth"/>
    <s v="Johnson"/>
    <x v="170"/>
    <n v="117.24"/>
    <s v="$21,427,700,000,000 "/>
    <n v="78.5"/>
    <n v="9.6"/>
    <n v="36.6"/>
    <n v="328239523"/>
  </r>
  <r>
    <n v="497"/>
    <x v="465"/>
    <x v="1"/>
    <s v="Atherton"/>
    <x v="131"/>
    <x v="3"/>
    <b v="1"/>
    <s v="M"/>
    <s v="Douglas"/>
    <s v="Leone"/>
    <x v="170"/>
    <n v="117.24"/>
    <s v="$21,427,700,000,000 "/>
    <n v="78.5"/>
    <n v="9.6"/>
    <n v="36.6"/>
    <n v="328239523"/>
  </r>
  <r>
    <n v="497"/>
    <x v="466"/>
    <x v="14"/>
    <s v="Jakarta"/>
    <x v="149"/>
    <x v="6"/>
    <b v="0"/>
    <s v="M"/>
    <s v="Prajogo"/>
    <s v="Pangestu"/>
    <x v="170"/>
    <n v="151.18"/>
    <s v="$1,119,190,780,753 "/>
    <n v="71.5"/>
    <n v="10.199999999999999"/>
    <n v="30.1"/>
    <n v="270203917"/>
  </r>
  <r>
    <n v="497"/>
    <x v="467"/>
    <x v="1"/>
    <s v="Chicago"/>
    <x v="219"/>
    <x v="3"/>
    <b v="0"/>
    <s v="M"/>
    <s v="Thomas"/>
    <s v="Pritzker"/>
    <x v="170"/>
    <n v="117.24"/>
    <s v="$21,427,700,000,000 "/>
    <n v="78.5"/>
    <n v="9.6"/>
    <n v="36.6"/>
    <n v="328239523"/>
  </r>
  <r>
    <n v="497"/>
    <x v="468"/>
    <x v="1"/>
    <s v="Beverly Hills"/>
    <x v="160"/>
    <x v="7"/>
    <b v="1"/>
    <s v="F"/>
    <s v="Lynda"/>
    <s v="Resnick"/>
    <x v="170"/>
    <n v="117.24"/>
    <s v="$21,427,700,000,000 "/>
    <n v="78.5"/>
    <n v="9.6"/>
    <n v="36.6"/>
    <n v="328239523"/>
  </r>
  <r>
    <n v="497"/>
    <x v="469"/>
    <x v="1"/>
    <s v="Beverly Hills"/>
    <x v="160"/>
    <x v="7"/>
    <b v="1"/>
    <s v="M"/>
    <s v="Stewart"/>
    <s v="Resnick"/>
    <x v="170"/>
    <n v="117.24"/>
    <s v="$21,427,700,000,000 "/>
    <n v="78.5"/>
    <n v="9.6"/>
    <n v="36.6"/>
    <n v="328239523"/>
  </r>
  <r>
    <n v="497"/>
    <x v="470"/>
    <x v="1"/>
    <s v="Atlanta"/>
    <x v="233"/>
    <x v="14"/>
    <b v="0"/>
    <s v="M"/>
    <s v="Gary"/>
    <s v="Rollins"/>
    <x v="170"/>
    <n v="117.24"/>
    <s v="$21,427,700,000,000 "/>
    <n v="78.5"/>
    <n v="9.6"/>
    <n v="36.6"/>
    <n v="328239523"/>
  </r>
  <r>
    <n v="497"/>
    <x v="471"/>
    <x v="1"/>
    <s v="Chicago"/>
    <x v="234"/>
    <x v="3"/>
    <b v="1"/>
    <s v="M"/>
    <s v="Mark"/>
    <s v="Walter"/>
    <x v="170"/>
    <n v="117.24"/>
    <s v="$21,427,700,000,000 "/>
    <n v="78.5"/>
    <n v="9.6"/>
    <n v="36.6"/>
    <n v="328239523"/>
  </r>
  <r>
    <n v="497"/>
    <x v="472"/>
    <x v="1"/>
    <s v="Saint Petersburg"/>
    <x v="151"/>
    <x v="10"/>
    <b v="1"/>
    <s v="M"/>
    <s v="Ronald"/>
    <s v="Wanek"/>
    <x v="170"/>
    <n v="117.24"/>
    <s v="$21,427,700,000,000 "/>
    <n v="78.5"/>
    <n v="9.6"/>
    <n v="36.6"/>
    <n v="328239523"/>
  </r>
  <r>
    <n v="497"/>
    <x v="473"/>
    <x v="7"/>
    <s v="Visbek"/>
    <x v="235"/>
    <x v="7"/>
    <b v="1"/>
    <s v="M"/>
    <s v="Erich"/>
    <s v="Wesjohann"/>
    <x v="170"/>
    <n v="112.85"/>
    <s v="$3,845,630,030,824 "/>
    <n v="80.900000000000006"/>
    <n v="11.5"/>
    <n v="48.8"/>
    <n v="83132799"/>
  </r>
  <r>
    <n v="497"/>
    <x v="474"/>
    <x v="15"/>
    <s v="Abu Dhabi"/>
    <x v="21"/>
    <x v="0"/>
    <b v="1"/>
    <s v="M"/>
    <s v="M.A."/>
    <s v="Yusuff Ali"/>
    <x v="170"/>
    <n v="114.52"/>
    <s v="$421,142,267,938 "/>
    <n v="77.8"/>
    <n v="0.1"/>
    <n v="15.9"/>
    <n v="9770529"/>
  </r>
  <r>
    <m/>
    <x v="475"/>
    <x v="39"/>
    <m/>
    <x v="236"/>
    <x v="18"/>
    <m/>
    <m/>
    <m/>
    <m/>
    <x v="171"/>
    <m/>
    <m/>
    <m/>
    <m/>
    <m/>
    <m/>
  </r>
  <r>
    <m/>
    <x v="475"/>
    <x v="39"/>
    <m/>
    <x v="236"/>
    <x v="18"/>
    <m/>
    <m/>
    <m/>
    <m/>
    <x v="171"/>
    <m/>
    <m/>
    <m/>
    <m/>
    <m/>
    <m/>
  </r>
  <r>
    <m/>
    <x v="475"/>
    <x v="39"/>
    <m/>
    <x v="236"/>
    <x v="18"/>
    <m/>
    <m/>
    <m/>
    <m/>
    <x v="171"/>
    <m/>
    <m/>
    <m/>
    <m/>
    <m/>
    <m/>
  </r>
  <r>
    <m/>
    <x v="475"/>
    <x v="39"/>
    <m/>
    <x v="236"/>
    <x v="18"/>
    <m/>
    <m/>
    <m/>
    <m/>
    <x v="171"/>
    <m/>
    <m/>
    <m/>
    <m/>
    <m/>
    <m/>
  </r>
  <r>
    <m/>
    <x v="475"/>
    <x v="39"/>
    <m/>
    <x v="236"/>
    <x v="18"/>
    <m/>
    <m/>
    <m/>
    <m/>
    <x v="171"/>
    <m/>
    <m/>
    <m/>
    <m/>
    <m/>
    <m/>
  </r>
  <r>
    <m/>
    <x v="475"/>
    <x v="39"/>
    <m/>
    <x v="236"/>
    <x v="18"/>
    <m/>
    <m/>
    <m/>
    <m/>
    <x v="171"/>
    <m/>
    <m/>
    <m/>
    <m/>
    <m/>
    <m/>
  </r>
  <r>
    <m/>
    <x v="475"/>
    <x v="39"/>
    <m/>
    <x v="236"/>
    <x v="18"/>
    <m/>
    <m/>
    <m/>
    <m/>
    <x v="171"/>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x v="0"/>
    <n v="1949"/>
    <n v="3"/>
    <n v="5"/>
    <d v="1949-03-05T00:00:00"/>
    <x v="0"/>
    <x v="0"/>
  </r>
  <r>
    <x v="1"/>
    <n v="1971"/>
    <n v="6"/>
    <n v="28"/>
    <d v="1971-06-28T00:00:00"/>
    <x v="1"/>
    <x v="1"/>
  </r>
  <r>
    <x v="2"/>
    <n v="1964"/>
    <n v="1"/>
    <n v="12"/>
    <d v="1964-01-12T00:00:00"/>
    <x v="2"/>
    <x v="0"/>
  </r>
  <r>
    <x v="3"/>
    <n v="1944"/>
    <n v="8"/>
    <n v="17"/>
    <d v="1944-08-17T00:00:00"/>
    <x v="3"/>
    <x v="2"/>
  </r>
  <r>
    <x v="4"/>
    <n v="1930"/>
    <n v="8"/>
    <n v="30"/>
    <d v="1930-08-30T00:00:00"/>
    <x v="4"/>
    <x v="2"/>
  </r>
  <r>
    <x v="5"/>
    <n v="1955"/>
    <n v="10"/>
    <n v="28"/>
    <d v="1955-10-28T00:00:00"/>
    <x v="5"/>
    <x v="0"/>
  </r>
  <r>
    <x v="5"/>
    <n v="1955"/>
    <n v="10"/>
    <n v="28"/>
    <d v="1955-10-28T00:00:00"/>
    <x v="5"/>
    <x v="0"/>
  </r>
  <r>
    <x v="6"/>
    <n v="1942"/>
    <n v="2"/>
    <n v="14"/>
    <d v="1942-02-14T00:00:00"/>
    <x v="6"/>
    <x v="2"/>
  </r>
  <r>
    <x v="7"/>
    <n v="1940"/>
    <n v="1"/>
    <n v="28"/>
    <d v="1940-01-28T00:00:00"/>
    <x v="7"/>
    <x v="2"/>
  </r>
  <r>
    <x v="8"/>
    <n v="1957"/>
    <n v="4"/>
    <n v="19"/>
    <d v="1957-04-19T00:00:00"/>
    <x v="8"/>
    <x v="0"/>
  </r>
  <r>
    <x v="9"/>
    <n v="1956"/>
    <n v="3"/>
    <n v="24"/>
    <d v="1956-03-24T00:00:00"/>
    <x v="5"/>
    <x v="0"/>
  </r>
  <r>
    <x v="10"/>
    <n v="1953"/>
    <n v="7"/>
    <n v="10"/>
    <d v="1953-07-10T00:00:00"/>
    <x v="9"/>
    <x v="0"/>
  </r>
  <r>
    <x v="11"/>
    <n v="1973"/>
    <n v="3"/>
    <n v="26"/>
    <d v="1973-03-26T00:00:00"/>
    <x v="10"/>
    <x v="1"/>
  </r>
  <r>
    <x v="12"/>
    <n v="1936"/>
    <n v="3"/>
    <n v="28"/>
    <d v="1936-03-28T00:00:00"/>
    <x v="11"/>
    <x v="2"/>
  </r>
  <r>
    <x v="13"/>
    <n v="1973"/>
    <n v="8"/>
    <n v="21"/>
    <d v="1973-08-21T00:00:00"/>
    <x v="12"/>
    <x v="1"/>
  </r>
  <r>
    <x v="14"/>
    <n v="1954"/>
    <n v="12"/>
    <n v="1"/>
    <d v="1954-12-01T00:00:00"/>
    <x v="13"/>
    <x v="0"/>
  </r>
  <r>
    <x v="15"/>
    <n v="1984"/>
    <n v="5"/>
    <n v="14"/>
    <d v="1984-05-14T00:00:00"/>
    <x v="14"/>
    <x v="1"/>
  </r>
  <r>
    <x v="16"/>
    <n v="1935"/>
    <n v="11"/>
    <n v="1"/>
    <d v="1935-11-01T00:00:00"/>
    <x v="11"/>
    <x v="2"/>
  </r>
  <r>
    <x v="17"/>
    <n v="1962"/>
    <n v="4"/>
    <n v="12"/>
    <d v="1962-04-12T00:00:00"/>
    <x v="15"/>
    <x v="0"/>
  </r>
  <r>
    <x v="18"/>
    <n v="1948"/>
    <n v="6"/>
    <n v="7"/>
    <d v="1948-06-07T00:00:00"/>
    <x v="0"/>
    <x v="0"/>
  </r>
  <r>
    <x v="19"/>
    <n v="1944"/>
    <n v="10"/>
    <n v="27"/>
    <d v="1944-10-27T00:00:00"/>
    <x v="3"/>
    <x v="2"/>
  </r>
  <r>
    <x v="20"/>
    <n v="1949"/>
    <n v="10"/>
    <n v="7"/>
    <d v="1949-10-07T00:00:00"/>
    <x v="16"/>
    <x v="0"/>
  </r>
  <r>
    <x v="21"/>
    <n v="1957"/>
    <n v="6"/>
    <n v="12"/>
    <d v="1957-06-12T00:00:00"/>
    <x v="17"/>
    <x v="0"/>
  </r>
  <r>
    <x v="22"/>
    <n v="1965"/>
    <n v="2"/>
    <n v="23"/>
    <d v="1965-02-23T00:00:00"/>
    <x v="18"/>
    <x v="0"/>
  </r>
  <r>
    <x v="23"/>
    <n v="1962"/>
    <n v="6"/>
    <n v="24"/>
    <d v="1962-06-24T00:00:00"/>
    <x v="19"/>
    <x v="0"/>
  </r>
  <r>
    <x v="24"/>
    <n v="1938"/>
    <n v="2"/>
    <n v="24"/>
    <d v="1938-02-24T00:00:00"/>
    <x v="20"/>
    <x v="2"/>
  </r>
  <r>
    <x v="25"/>
    <n v="1984"/>
    <n v="1"/>
    <n v="1"/>
    <d v="1984-01-01T00:00:00"/>
    <x v="21"/>
    <x v="1"/>
  </r>
  <r>
    <x v="26"/>
    <n v="1939"/>
    <n v="9"/>
    <n v="24"/>
    <d v="1939-09-24T00:00:00"/>
    <x v="7"/>
    <x v="2"/>
  </r>
  <r>
    <x v="27"/>
    <n v="1936"/>
    <n v="8"/>
    <n v="21"/>
    <d v="1936-08-21T00:00:00"/>
    <x v="22"/>
    <x v="2"/>
  </r>
  <r>
    <x v="28"/>
    <n v="1937"/>
    <n v="6"/>
    <n v="2"/>
    <d v="1937-06-02T00:00:00"/>
    <x v="20"/>
    <x v="2"/>
  </r>
  <r>
    <x v="29"/>
    <n v="1964"/>
    <n v="9"/>
    <n v="21"/>
    <d v="1964-09-21T00:00:00"/>
    <x v="18"/>
    <x v="0"/>
  </r>
  <r>
    <x v="30"/>
    <n v="1939"/>
    <n v="10"/>
    <n v="10"/>
    <d v="1939-10-10T00:00:00"/>
    <x v="7"/>
    <x v="2"/>
  </r>
  <r>
    <x v="31"/>
    <n v="1935"/>
    <n v="10"/>
    <n v="15"/>
    <d v="1935-10-15T00:00:00"/>
    <x v="11"/>
    <x v="2"/>
  </r>
  <r>
    <x v="32"/>
    <n v="1971"/>
    <n v="10"/>
    <n v="29"/>
    <d v="1971-10-29T00:00:00"/>
    <x v="1"/>
    <x v="1"/>
  </r>
  <r>
    <x v="33"/>
    <n v="1945"/>
    <n v="10"/>
    <n v="10"/>
    <d v="1945-10-10T00:00:00"/>
    <x v="23"/>
    <x v="2"/>
  </r>
  <r>
    <x v="34"/>
    <n v="1968"/>
    <n v="10"/>
    <n v="15"/>
    <d v="1968-10-15T00:00:00"/>
    <x v="24"/>
    <x v="1"/>
  </r>
  <r>
    <x v="35"/>
    <n v="1992"/>
    <n v="5"/>
    <n v="7"/>
    <d v="1992-05-07T00:00:00"/>
    <x v="25"/>
    <x v="1"/>
  </r>
  <r>
    <x v="35"/>
    <n v="1992"/>
    <n v="5"/>
    <n v="7"/>
    <d v="1992-05-07T00:00:00"/>
    <x v="25"/>
    <x v="1"/>
  </r>
  <r>
    <x v="36"/>
    <n v="1969"/>
    <n v="1"/>
    <n v="1"/>
    <d v="1969-01-01T00:00:00"/>
    <x v="24"/>
    <x v="1"/>
  </r>
  <r>
    <x v="37"/>
    <n v="1949"/>
    <n v="2"/>
    <n v="7"/>
    <d v="1949-02-07T00:00:00"/>
    <x v="0"/>
    <x v="0"/>
  </r>
  <r>
    <x v="38"/>
    <n v="1957"/>
    <n v="6"/>
    <n v="1"/>
    <d v="1957-06-01T00:00:00"/>
    <x v="17"/>
    <x v="0"/>
  </r>
  <r>
    <x v="39"/>
    <n v="1948"/>
    <n v="8"/>
    <n v="28"/>
    <d v="1948-08-28T00:00:00"/>
    <x v="0"/>
    <x v="0"/>
  </r>
  <r>
    <x v="40"/>
    <n v="1951"/>
    <n v="1"/>
    <n v="9"/>
    <d v="1951-01-09T00:00:00"/>
    <x v="26"/>
    <x v="0"/>
  </r>
  <r>
    <x v="41"/>
    <n v="1940"/>
    <n v="6"/>
    <n v="27"/>
    <d v="1940-06-27T00:00:00"/>
    <x v="27"/>
    <x v="2"/>
  </r>
  <r>
    <x v="42"/>
    <n v="1945"/>
    <n v="3"/>
    <n v="26"/>
    <d v="1945-03-26T00:00:00"/>
    <x v="3"/>
    <x v="2"/>
  </r>
  <r>
    <x v="43"/>
    <n v="1980"/>
    <n v="2"/>
    <n v="2"/>
    <d v="1980-02-02T00:00:00"/>
    <x v="28"/>
    <x v="1"/>
  </r>
  <r>
    <x v="44"/>
    <n v="1935"/>
    <n v="4"/>
    <n v="20"/>
    <d v="1935-04-20T00:00:00"/>
    <x v="11"/>
    <x v="2"/>
  </r>
  <r>
    <x v="45"/>
    <n v="1958"/>
    <n v="7"/>
    <n v="17"/>
    <d v="1958-07-17T00:00:00"/>
    <x v="29"/>
    <x v="0"/>
  </r>
  <r>
    <x v="46"/>
    <n v="1938"/>
    <n v="4"/>
    <n v="25"/>
    <d v="1938-04-25T00:00:00"/>
    <x v="30"/>
    <x v="2"/>
  </r>
  <r>
    <x v="47"/>
    <n v="1947"/>
    <n v="2"/>
    <n v="14"/>
    <d v="1947-02-14T00:00:00"/>
    <x v="31"/>
    <x v="0"/>
  </r>
  <r>
    <x v="48"/>
    <n v="1962"/>
    <n v="4"/>
    <n v="28"/>
    <d v="1962-04-28T00:00:00"/>
    <x v="19"/>
    <x v="0"/>
  </r>
  <r>
    <x v="49"/>
    <n v="1954"/>
    <n v="2"/>
    <n v="9"/>
    <d v="1954-02-09T00:00:00"/>
    <x v="9"/>
    <x v="0"/>
  </r>
  <r>
    <x v="50"/>
    <n v="1971"/>
    <n v="10"/>
    <n v="1"/>
    <d v="1971-10-01T00:00:00"/>
    <x v="1"/>
    <x v="1"/>
  </r>
  <r>
    <x v="51"/>
    <n v="1953"/>
    <n v="10"/>
    <n v="26"/>
    <d v="1953-10-26T00:00:00"/>
    <x v="9"/>
    <x v="0"/>
  </r>
  <r>
    <x v="52"/>
    <n v="1945"/>
    <n v="7"/>
    <n v="18"/>
    <d v="1945-07-18T00:00:00"/>
    <x v="23"/>
    <x v="2"/>
  </r>
  <r>
    <x v="53"/>
    <n v="1948"/>
    <n v="4"/>
    <n v="17"/>
    <d v="1948-04-17T00:00:00"/>
    <x v="32"/>
    <x v="0"/>
  </r>
  <r>
    <x v="54"/>
    <n v="1944"/>
    <n v="9"/>
    <n v="30"/>
    <d v="1944-09-30T00:00:00"/>
    <x v="3"/>
    <x v="2"/>
  </r>
  <r>
    <x v="55"/>
    <n v="1972"/>
    <n v="3"/>
    <n v="8"/>
    <d v="1972-03-08T00:00:00"/>
    <x v="1"/>
    <x v="1"/>
  </r>
  <r>
    <x v="56"/>
    <n v="1966"/>
    <n v="5"/>
    <n v="9"/>
    <d v="1966-05-09T00:00:00"/>
    <x v="33"/>
    <x v="1"/>
  </r>
  <r>
    <x v="57"/>
    <n v="1970"/>
    <n v="4"/>
    <n v="7"/>
    <d v="1970-04-07T00:00:00"/>
    <x v="34"/>
    <x v="1"/>
  </r>
  <r>
    <x v="58"/>
    <n v="1941"/>
    <n v="1"/>
    <n v="1"/>
    <d v="1941-01-01T00:00:00"/>
    <x v="27"/>
    <x v="2"/>
  </r>
  <r>
    <x v="59"/>
    <n v="1961"/>
    <n v="1"/>
    <n v="3"/>
    <d v="1961-01-03T00:00:00"/>
    <x v="35"/>
    <x v="0"/>
  </r>
  <r>
    <x v="60"/>
    <n v="1964"/>
    <n v="9"/>
    <n v="10"/>
    <d v="1964-09-10T00:00:00"/>
    <x v="18"/>
    <x v="0"/>
  </r>
  <r>
    <x v="61"/>
    <n v="1942"/>
    <n v="8"/>
    <n v="11"/>
    <d v="1942-08-11T00:00:00"/>
    <x v="36"/>
    <x v="2"/>
  </r>
  <r>
    <x v="62"/>
    <n v="1943"/>
    <n v="1"/>
    <n v="1"/>
    <d v="1943-01-01T00:00:00"/>
    <x v="36"/>
    <x v="2"/>
  </r>
  <r>
    <x v="63"/>
    <n v="1939"/>
    <n v="10"/>
    <n v="2"/>
    <d v="1939-10-02T00:00:00"/>
    <x v="7"/>
    <x v="2"/>
  </r>
  <r>
    <x v="64"/>
    <n v="1953"/>
    <n v="1"/>
    <n v="1"/>
    <d v="1953-01-01T00:00:00"/>
    <x v="37"/>
    <x v="0"/>
  </r>
  <r>
    <x v="65"/>
    <n v="1941"/>
    <n v="5"/>
    <n v="11"/>
    <d v="1941-05-11T00:00:00"/>
    <x v="6"/>
    <x v="2"/>
  </r>
  <r>
    <x v="66"/>
    <n v="1957"/>
    <n v="8"/>
    <n v="11"/>
    <d v="1957-08-11T00:00:00"/>
    <x v="17"/>
    <x v="0"/>
  </r>
  <r>
    <x v="67"/>
    <n v="1956"/>
    <n v="5"/>
    <n v="7"/>
    <d v="1956-05-07T00:00:00"/>
    <x v="8"/>
    <x v="0"/>
  </r>
  <r>
    <x v="68"/>
    <n v="1970"/>
    <n v="9"/>
    <n v="18"/>
    <d v="1970-09-18T00:00:00"/>
    <x v="38"/>
    <x v="1"/>
  </r>
  <r>
    <x v="69"/>
    <n v="1961"/>
    <n v="12"/>
    <n v="19"/>
    <d v="1961-12-19T00:00:00"/>
    <x v="15"/>
    <x v="0"/>
  </r>
  <r>
    <x v="70"/>
    <n v="1955"/>
    <n v="8"/>
    <n v="11"/>
    <d v="1955-08-11T00:00:00"/>
    <x v="5"/>
    <x v="0"/>
  </r>
  <r>
    <x v="71"/>
    <n v="1986"/>
    <n v="9"/>
    <n v="19"/>
    <d v="1986-09-19T00:00:00"/>
    <x v="39"/>
    <x v="1"/>
  </r>
  <r>
    <x v="72"/>
    <n v="1970"/>
    <n v="10"/>
    <n v="1"/>
    <d v="1970-10-01T00:00:00"/>
    <x v="38"/>
    <x v="1"/>
  </r>
  <r>
    <x v="73"/>
    <n v="1963"/>
    <n v="2"/>
    <n v="17"/>
    <d v="1963-02-17T00:00:00"/>
    <x v="19"/>
    <x v="0"/>
  </r>
  <r>
    <x v="74"/>
    <n v="1933"/>
    <n v="3"/>
    <n v="19"/>
    <d v="1933-03-19T00:00:00"/>
    <x v="40"/>
    <x v="2"/>
  </r>
  <r>
    <x v="75"/>
    <n v="1945"/>
    <n v="6"/>
    <n v="10"/>
    <d v="1945-06-10T00:00:00"/>
    <x v="23"/>
    <x v="2"/>
  </r>
  <r>
    <x v="76"/>
    <n v="1965"/>
    <n v="9"/>
    <n v="26"/>
    <d v="1965-09-26T00:00:00"/>
    <x v="41"/>
    <x v="0"/>
  </r>
  <r>
    <x v="77"/>
    <n v="1950"/>
    <n v="9"/>
    <n v="1"/>
    <d v="1950-09-01T00:00:00"/>
    <x v="26"/>
    <x v="0"/>
  </r>
  <r>
    <x v="78"/>
    <n v="1938"/>
    <n v="8"/>
    <n v="12"/>
    <d v="1938-08-12T00:00:00"/>
    <x v="30"/>
    <x v="2"/>
  </r>
  <r>
    <x v="79"/>
    <n v="1961"/>
    <n v="11"/>
    <n v="18"/>
    <d v="1961-11-18T00:00:00"/>
    <x v="15"/>
    <x v="0"/>
  </r>
  <r>
    <x v="80"/>
    <n v="1949"/>
    <n v="8"/>
    <n v="8"/>
    <d v="1949-08-08T00:00:00"/>
    <x v="16"/>
    <x v="0"/>
  </r>
  <r>
    <x v="81"/>
    <n v="1963"/>
    <n v="6"/>
    <n v="1"/>
    <d v="1963-06-01T00:00:00"/>
    <x v="2"/>
    <x v="0"/>
  </r>
  <r>
    <x v="82"/>
    <n v="1968"/>
    <n v="3"/>
    <n v="1"/>
    <d v="1968-03-01T00:00:00"/>
    <x v="42"/>
    <x v="1"/>
  </r>
  <r>
    <x v="83"/>
    <n v="1965"/>
    <n v="4"/>
    <n v="17"/>
    <d v="1965-04-17T00:00:00"/>
    <x v="18"/>
    <x v="0"/>
  </r>
  <r>
    <x v="84"/>
    <n v="1966"/>
    <n v="2"/>
    <n v="15"/>
    <d v="1966-02-15T00:00:00"/>
    <x v="41"/>
    <x v="0"/>
  </r>
  <r>
    <x v="85"/>
    <n v="1945"/>
    <n v="12"/>
    <n v="11"/>
    <d v="1945-12-11T00:00:00"/>
    <x v="23"/>
    <x v="2"/>
  </r>
  <r>
    <x v="86"/>
    <n v="1957"/>
    <n v="9"/>
    <n v="11"/>
    <d v="1957-09-11T00:00:00"/>
    <x v="17"/>
    <x v="0"/>
  </r>
  <r>
    <x v="87"/>
    <n v="1952"/>
    <n v="11"/>
    <n v="9"/>
    <d v="1952-11-09T00:00:00"/>
    <x v="37"/>
    <x v="0"/>
  </r>
  <r>
    <x v="88"/>
    <n v="1962"/>
    <n v="1"/>
    <n v="17"/>
    <d v="1962-01-17T00:00:00"/>
    <x v="15"/>
    <x v="0"/>
  </r>
  <r>
    <x v="89"/>
    <n v="1950"/>
    <n v="6"/>
    <n v="15"/>
    <d v="1950-06-15T00:00:00"/>
    <x v="26"/>
    <x v="0"/>
  </r>
  <r>
    <x v="90"/>
    <n v="1956"/>
    <n v="6"/>
    <n v="11"/>
    <d v="1956-06-11T00:00:00"/>
    <x v="8"/>
    <x v="0"/>
  </r>
  <r>
    <x v="91"/>
    <n v="1936"/>
    <n v="2"/>
    <n v="16"/>
    <d v="1936-02-16T00:00:00"/>
    <x v="11"/>
    <x v="2"/>
  </r>
  <r>
    <x v="92"/>
    <n v="1950"/>
    <n v="3"/>
    <n v="20"/>
    <d v="1950-03-20T00:00:00"/>
    <x v="16"/>
    <x v="0"/>
  </r>
  <r>
    <x v="93"/>
    <n v="1932"/>
    <n v="5"/>
    <n v="11"/>
    <d v="1932-05-11T00:00:00"/>
    <x v="40"/>
    <x v="2"/>
  </r>
  <r>
    <x v="94"/>
    <n v="1940"/>
    <n v="1"/>
    <n v="22"/>
    <d v="1940-01-22T00:00:00"/>
    <x v="7"/>
    <x v="2"/>
  </r>
  <r>
    <x v="95"/>
    <n v="1931"/>
    <n v="3"/>
    <n v="11"/>
    <d v="1931-03-11T00:00:00"/>
    <x v="4"/>
    <x v="2"/>
  </r>
  <r>
    <x v="96"/>
    <n v="1953"/>
    <n v="1"/>
    <n v="1"/>
    <d v="1953-01-01T00:00:00"/>
    <x v="37"/>
    <x v="0"/>
  </r>
  <r>
    <x v="97"/>
    <n v="1951"/>
    <n v="1"/>
    <n v="1"/>
    <d v="1951-01-01T00:00:00"/>
    <x v="26"/>
    <x v="0"/>
  </r>
  <r>
    <x v="98"/>
    <n v="1967"/>
    <n v="7"/>
    <n v="4"/>
    <d v="1967-07-04T00:00:00"/>
    <x v="42"/>
    <x v="1"/>
  </r>
  <r>
    <x v="98"/>
    <n v="1967"/>
    <n v="7"/>
    <n v="4"/>
    <d v="1967-07-04T00:00:00"/>
    <x v="42"/>
    <x v="1"/>
  </r>
  <r>
    <x v="99"/>
    <n v="1951"/>
    <n v="1"/>
    <n v="1"/>
    <d v="1951-01-01T00:00:00"/>
    <x v="26"/>
    <x v="0"/>
  </r>
  <r>
    <x v="100"/>
    <n v="1947"/>
    <n v="10"/>
    <n v="4"/>
    <d v="1947-10-04T00:00:00"/>
    <x v="32"/>
    <x v="0"/>
  </r>
  <r>
    <x v="101"/>
    <n v="1955"/>
    <n v="4"/>
    <n v="27"/>
    <d v="1955-04-27T00:00:00"/>
    <x v="5"/>
    <x v="0"/>
  </r>
  <r>
    <x v="102"/>
    <n v="1968"/>
    <n v="3"/>
    <n v="18"/>
    <d v="1968-03-18T00:00:00"/>
    <x v="42"/>
    <x v="1"/>
  </r>
  <r>
    <x v="103"/>
    <n v="1956"/>
    <n v="1"/>
    <n v="19"/>
    <d v="1956-01-19T00:00:00"/>
    <x v="5"/>
    <x v="0"/>
  </r>
  <r>
    <x v="104"/>
    <n v="1939"/>
    <n v="8"/>
    <n v="26"/>
    <d v="1939-08-26T00:00:00"/>
    <x v="7"/>
    <x v="2"/>
  </r>
  <r>
    <x v="105"/>
    <n v="1955"/>
    <n v="10"/>
    <n v="1"/>
    <d v="1955-10-01T00:00:00"/>
    <x v="5"/>
    <x v="0"/>
  </r>
  <r>
    <x v="106"/>
    <n v="1978"/>
    <n v="3"/>
    <n v="10"/>
    <d v="1978-03-10T00:00:00"/>
    <x v="43"/>
    <x v="1"/>
  </r>
  <r>
    <x v="107"/>
    <n v="1955"/>
    <n v="1"/>
    <n v="1"/>
    <d v="1955-01-01T00:00:00"/>
    <x v="13"/>
    <x v="0"/>
  </r>
  <r>
    <x v="108"/>
    <n v="1967"/>
    <n v="1"/>
    <n v="1"/>
    <d v="1967-01-01T00:00:00"/>
    <x v="33"/>
    <x v="1"/>
  </r>
  <r>
    <x v="109"/>
    <n v="1939"/>
    <n v="4"/>
    <n v="19"/>
    <d v="1939-04-19T00:00:00"/>
    <x v="30"/>
    <x v="2"/>
  </r>
  <r>
    <x v="110"/>
    <n v="1941"/>
    <n v="11"/>
    <n v="13"/>
    <d v="1941-11-13T00:00:00"/>
    <x v="6"/>
    <x v="2"/>
  </r>
  <r>
    <x v="111"/>
    <n v="1944"/>
    <n v="5"/>
    <n v="2"/>
    <d v="1944-05-02T00:00:00"/>
    <x v="3"/>
    <x v="2"/>
  </r>
  <r>
    <x v="112"/>
    <n v="1954"/>
    <n v="6"/>
    <n v="30"/>
    <d v="1954-06-30T00:00:00"/>
    <x v="13"/>
    <x v="0"/>
  </r>
  <r>
    <x v="113"/>
    <n v="1962"/>
    <n v="5"/>
    <n v="22"/>
    <d v="1962-05-22T00:00:00"/>
    <x v="19"/>
    <x v="0"/>
  </r>
  <r>
    <x v="114"/>
    <n v="1964"/>
    <n v="3"/>
    <n v="1"/>
    <d v="1964-03-01T00:00:00"/>
    <x v="2"/>
    <x v="0"/>
  </r>
  <r>
    <x v="115"/>
    <n v="1927"/>
    <n v="6"/>
    <n v="27"/>
    <d v="1927-06-27T00:00:00"/>
    <x v="44"/>
    <x v="2"/>
  </r>
  <r>
    <x v="116"/>
    <n v="1967"/>
    <n v="6"/>
    <n v="14"/>
    <d v="1967-06-14T00:00:00"/>
    <x v="42"/>
    <x v="1"/>
  </r>
  <r>
    <x v="117"/>
    <n v="1957"/>
    <n v="4"/>
    <n v="10"/>
    <d v="1957-04-10T00:00:00"/>
    <x v="8"/>
    <x v="0"/>
  </r>
  <r>
    <x v="118"/>
    <n v="1955"/>
    <n v="10"/>
    <n v="2"/>
    <d v="1955-10-02T00:00:00"/>
    <x v="5"/>
    <x v="0"/>
  </r>
  <r>
    <x v="119"/>
    <n v="1965"/>
    <n v="9"/>
    <n v="1"/>
    <d v="1965-09-01T00:00:00"/>
    <x v="41"/>
    <x v="0"/>
  </r>
  <r>
    <x v="120"/>
    <n v="1945"/>
    <n v="2"/>
    <n v="1"/>
    <d v="1945-02-01T00:00:00"/>
    <x v="3"/>
    <x v="2"/>
  </r>
  <r>
    <x v="121"/>
    <n v="1947"/>
    <n v="3"/>
    <n v="2"/>
    <d v="1947-03-02T00:00:00"/>
    <x v="31"/>
    <x v="0"/>
  </r>
  <r>
    <x v="122"/>
    <n v="1976"/>
    <n v="2"/>
    <n v="24"/>
    <d v="1976-02-24T00:00:00"/>
    <x v="45"/>
    <x v="1"/>
  </r>
  <r>
    <x v="123"/>
    <n v="1942"/>
    <n v="10"/>
    <n v="13"/>
    <d v="1942-10-13T00:00:00"/>
    <x v="36"/>
    <x v="2"/>
  </r>
  <r>
    <x v="124"/>
    <n v="1942"/>
    <n v="7"/>
    <n v="29"/>
    <d v="1942-07-29T00:00:00"/>
    <x v="36"/>
    <x v="2"/>
  </r>
  <r>
    <x v="125"/>
    <n v="1962"/>
    <n v="12"/>
    <n v="28"/>
    <d v="1962-12-28T00:00:00"/>
    <x v="19"/>
    <x v="0"/>
  </r>
  <r>
    <x v="126"/>
    <n v="1933"/>
    <n v="3"/>
    <n v="3"/>
    <d v="1933-03-03T00:00:00"/>
    <x v="40"/>
    <x v="2"/>
  </r>
  <r>
    <x v="127"/>
    <n v="1959"/>
    <n v="3"/>
    <n v="15"/>
    <d v="1959-03-15T00:00:00"/>
    <x v="29"/>
    <x v="0"/>
  </r>
  <r>
    <x v="128"/>
    <n v="1947"/>
    <n v="7"/>
    <n v="29"/>
    <d v="1947-07-29T00:00:00"/>
    <x v="32"/>
    <x v="0"/>
  </r>
  <r>
    <x v="129"/>
    <n v="1964"/>
    <n v="4"/>
    <n v="21"/>
    <d v="1964-04-21T00:00:00"/>
    <x v="18"/>
    <x v="0"/>
  </r>
  <r>
    <x v="130"/>
    <n v="1965"/>
    <n v="7"/>
    <n v="12"/>
    <d v="1965-07-12T00:00:00"/>
    <x v="41"/>
    <x v="0"/>
  </r>
  <r>
    <x v="131"/>
    <n v="1973"/>
    <n v="2"/>
    <n v="1"/>
    <d v="1973-02-01T00:00:00"/>
    <x v="10"/>
    <x v="1"/>
  </r>
  <r>
    <x v="132"/>
    <n v="1953"/>
    <n v="10"/>
    <n v="8"/>
    <d v="1953-10-08T00:00:00"/>
    <x v="9"/>
    <x v="0"/>
  </r>
  <r>
    <x v="133"/>
    <n v="1950"/>
    <n v="7"/>
    <n v="18"/>
    <d v="1950-07-18T00:00:00"/>
    <x v="26"/>
    <x v="0"/>
  </r>
  <r>
    <x v="134"/>
    <n v="1963"/>
    <n v="11"/>
    <n v="6"/>
    <d v="1963-11-06T00:00:00"/>
    <x v="2"/>
    <x v="0"/>
  </r>
  <r>
    <x v="135"/>
    <n v="1940"/>
    <n v="5"/>
    <n v="10"/>
    <d v="1940-05-10T00:00:00"/>
    <x v="27"/>
    <x v="2"/>
  </r>
  <r>
    <x v="136"/>
    <n v="1984"/>
    <n v="10"/>
    <n v="10"/>
    <d v="1984-10-10T00:00:00"/>
    <x v="14"/>
    <x v="1"/>
  </r>
  <r>
    <x v="137"/>
    <n v="1950"/>
    <n v="2"/>
    <n v="16"/>
    <d v="1950-02-16T00:00:00"/>
    <x v="16"/>
    <x v="0"/>
  </r>
  <r>
    <x v="138"/>
    <n v="1950"/>
    <n v="2"/>
    <n v="16"/>
    <d v="1950-02-16T00:00:00"/>
    <x v="16"/>
    <x v="0"/>
  </r>
  <r>
    <x v="139"/>
    <n v="1964"/>
    <n v="1"/>
    <n v="1"/>
    <d v="1964-01-01T00:00:00"/>
    <x v="2"/>
    <x v="0"/>
  </r>
  <r>
    <x v="140"/>
    <n v="1972"/>
    <n v="7"/>
    <n v="21"/>
    <d v="1972-07-21T00:00:00"/>
    <x v="10"/>
    <x v="1"/>
  </r>
  <r>
    <x v="141"/>
    <n v="1948"/>
    <n v="9"/>
    <n v="30"/>
    <d v="1948-09-30T00:00:00"/>
    <x v="0"/>
    <x v="0"/>
  </r>
  <r>
    <x v="142"/>
    <n v="1953"/>
    <n v="9"/>
    <n v="8"/>
    <d v="1953-09-08T00:00:00"/>
    <x v="9"/>
    <x v="0"/>
  </r>
  <r>
    <x v="143"/>
    <n v="1960"/>
    <n v="4"/>
    <n v="11"/>
    <d v="1960-04-11T00:00:00"/>
    <x v="46"/>
    <x v="0"/>
  </r>
  <r>
    <x v="144"/>
    <n v="1965"/>
    <n v="5"/>
    <n v="3"/>
    <d v="1965-05-03T00:00:00"/>
    <x v="41"/>
    <x v="0"/>
  </r>
  <r>
    <x v="145"/>
    <n v="1934"/>
    <n v="7"/>
    <n v="11"/>
    <d v="1934-07-11T00:00:00"/>
    <x v="47"/>
    <x v="2"/>
  </r>
  <r>
    <x v="146"/>
    <n v="1950"/>
    <n v="6"/>
    <n v="1"/>
    <d v="1950-06-01T00:00:00"/>
    <x v="26"/>
    <x v="0"/>
  </r>
  <r>
    <x v="147"/>
    <n v="1972"/>
    <n v="1"/>
    <n v="1"/>
    <d v="1972-01-01T00:00:00"/>
    <x v="1"/>
    <x v="1"/>
  </r>
  <r>
    <x v="148"/>
    <n v="1939"/>
    <n v="12"/>
    <n v="28"/>
    <d v="1939-12-28T00:00:00"/>
    <x v="7"/>
    <x v="2"/>
  </r>
  <r>
    <x v="149"/>
    <n v="1937"/>
    <n v="6"/>
    <n v="17"/>
    <d v="1937-06-17T00:00:00"/>
    <x v="20"/>
    <x v="2"/>
  </r>
  <r>
    <x v="150"/>
    <n v="1955"/>
    <n v="10"/>
    <n v="19"/>
    <d v="1955-10-19T00:00:00"/>
    <x v="5"/>
    <x v="0"/>
  </r>
  <r>
    <x v="151"/>
    <n v="1929"/>
    <n v="8"/>
    <n v="5"/>
    <d v="1929-08-05T00:00:00"/>
    <x v="48"/>
    <x v="2"/>
  </r>
  <r>
    <x v="152"/>
    <n v="1941"/>
    <n v="6"/>
    <n v="5"/>
    <d v="1941-06-05T00:00:00"/>
    <x v="6"/>
    <x v="2"/>
  </r>
  <r>
    <x v="153"/>
    <n v="1950"/>
    <n v="1"/>
    <n v="1"/>
    <d v="1950-01-01T00:00:00"/>
    <x v="16"/>
    <x v="0"/>
  </r>
  <r>
    <x v="154"/>
    <n v="1966"/>
    <n v="3"/>
    <n v="12"/>
    <d v="1966-03-12T00:00:00"/>
    <x v="41"/>
    <x v="0"/>
  </r>
  <r>
    <x v="155"/>
    <n v="1984"/>
    <n v="1"/>
    <n v="1"/>
    <d v="1984-01-01T00:00:00"/>
    <x v="21"/>
    <x v="1"/>
  </r>
  <r>
    <x v="156"/>
    <n v="1977"/>
    <n v="9"/>
    <n v="10"/>
    <d v="1977-09-10T00:00:00"/>
    <x v="43"/>
    <x v="1"/>
  </r>
  <r>
    <x v="157"/>
    <n v="1952"/>
    <n v="11"/>
    <n v="29"/>
    <d v="1952-11-29T00:00:00"/>
    <x v="37"/>
    <x v="0"/>
  </r>
  <r>
    <x v="158"/>
    <n v="1979"/>
    <n v="11"/>
    <n v="17"/>
    <d v="1979-11-17T00:00:00"/>
    <x v="28"/>
    <x v="1"/>
  </r>
  <r>
    <x v="159"/>
    <n v="1962"/>
    <n v="8"/>
    <n v="19"/>
    <d v="1962-08-19T00:00:00"/>
    <x v="19"/>
    <x v="0"/>
  </r>
  <r>
    <x v="160"/>
    <n v="1940"/>
    <n v="9"/>
    <n v="21"/>
    <d v="1940-09-21T00:00:00"/>
    <x v="27"/>
    <x v="2"/>
  </r>
  <r>
    <x v="161"/>
    <n v="1959"/>
    <n v="3"/>
    <n v="5"/>
    <d v="1959-03-05T00:00:00"/>
    <x v="29"/>
    <x v="0"/>
  </r>
  <r>
    <x v="162"/>
    <n v="1948"/>
    <n v="10"/>
    <n v="13"/>
    <d v="1948-10-13T00:00:00"/>
    <x v="0"/>
    <x v="0"/>
  </r>
  <r>
    <x v="163"/>
    <n v="1982"/>
    <n v="3"/>
    <n v="19"/>
    <d v="1982-03-19T00:00:00"/>
    <x v="49"/>
    <x v="1"/>
  </r>
  <r>
    <x v="164"/>
    <n v="1964"/>
    <n v="10"/>
    <n v="19"/>
    <d v="1964-10-19T00:00:00"/>
    <x v="18"/>
    <x v="0"/>
  </r>
  <r>
    <x v="165"/>
    <n v="1949"/>
    <n v="2"/>
    <n v="8"/>
    <d v="1949-02-08T00:00:00"/>
    <x v="0"/>
    <x v="0"/>
  </r>
  <r>
    <x v="166"/>
    <n v="1979"/>
    <n v="12"/>
    <n v="17"/>
    <d v="1979-12-17T00:00:00"/>
    <x v="28"/>
    <x v="1"/>
  </r>
  <r>
    <x v="167"/>
    <n v="1941"/>
    <n v="8"/>
    <n v="12"/>
    <d v="1941-08-12T00:00:00"/>
    <x v="6"/>
    <x v="2"/>
  </r>
  <r>
    <x v="168"/>
    <n v="1964"/>
    <n v="1"/>
    <n v="1"/>
    <d v="1964-01-01T00:00:00"/>
    <x v="2"/>
    <x v="0"/>
  </r>
  <r>
    <x v="169"/>
    <n v="1938"/>
    <n v="3"/>
    <n v="8"/>
    <d v="1938-03-08T00:00:00"/>
    <x v="20"/>
    <x v="2"/>
  </r>
  <r>
    <x v="170"/>
    <n v="1948"/>
    <n v="6"/>
    <n v="1"/>
    <d v="1948-06-01T00:00:00"/>
    <x v="0"/>
    <x v="0"/>
  </r>
  <r>
    <x v="171"/>
    <n v="1949"/>
    <n v="1"/>
    <n v="10"/>
    <d v="1949-01-10T00:00:00"/>
    <x v="0"/>
    <x v="0"/>
  </r>
  <r>
    <x v="172"/>
    <n v="1943"/>
    <n v="1"/>
    <n v="29"/>
    <d v="1943-01-29T00:00:00"/>
    <x v="36"/>
    <x v="2"/>
  </r>
  <r>
    <x v="173"/>
    <n v="1971"/>
    <n v="8"/>
    <n v="10"/>
    <d v="1971-08-10T00:00:00"/>
    <x v="1"/>
    <x v="1"/>
  </r>
  <r>
    <x v="174"/>
    <n v="1970"/>
    <n v="3"/>
    <n v="3"/>
    <d v="1970-03-03T00:00:00"/>
    <x v="34"/>
    <x v="1"/>
  </r>
  <r>
    <x v="175"/>
    <n v="1968"/>
    <n v="2"/>
    <n v="1"/>
    <d v="1968-02-01T00:00:00"/>
    <x v="42"/>
    <x v="1"/>
  </r>
  <r>
    <x v="176"/>
    <n v="1947"/>
    <n v="5"/>
    <n v="15"/>
    <d v="1947-05-15T00:00:00"/>
    <x v="32"/>
    <x v="0"/>
  </r>
  <r>
    <x v="177"/>
    <n v="1960"/>
    <n v="3"/>
    <n v="24"/>
    <d v="1960-03-24T00:00:00"/>
    <x v="46"/>
    <x v="0"/>
  </r>
  <r>
    <x v="178"/>
    <n v="1963"/>
    <n v="10"/>
    <n v="1"/>
    <d v="1963-10-01T00:00:00"/>
    <x v="2"/>
    <x v="0"/>
  </r>
  <r>
    <x v="179"/>
    <n v="1969"/>
    <n v="12"/>
    <n v="16"/>
    <d v="1969-12-16T00:00:00"/>
    <x v="34"/>
    <x v="1"/>
  </r>
  <r>
    <x v="180"/>
    <n v="1946"/>
    <n v="8"/>
    <n v="15"/>
    <d v="1946-08-15T00:00:00"/>
    <x v="31"/>
    <x v="0"/>
  </r>
  <r>
    <x v="181"/>
    <n v="1958"/>
    <n v="9"/>
    <n v="1"/>
    <d v="1958-09-01T00:00:00"/>
    <x v="29"/>
    <x v="0"/>
  </r>
  <r>
    <x v="181"/>
    <n v="1958"/>
    <n v="9"/>
    <n v="1"/>
    <d v="1958-09-01T00:00:00"/>
    <x v="29"/>
    <x v="0"/>
  </r>
  <r>
    <x v="181"/>
    <n v="1958"/>
    <n v="9"/>
    <n v="1"/>
    <d v="1958-09-01T00:00:00"/>
    <x v="29"/>
    <x v="0"/>
  </r>
  <r>
    <x v="182"/>
    <n v="1952"/>
    <n v="7"/>
    <n v="25"/>
    <d v="1952-07-25T00:00:00"/>
    <x v="37"/>
    <x v="0"/>
  </r>
  <r>
    <x v="183"/>
    <n v="1952"/>
    <n v="9"/>
    <n v="1"/>
    <d v="1952-09-01T00:00:00"/>
    <x v="37"/>
    <x v="0"/>
  </r>
  <r>
    <x v="184"/>
    <n v="1956"/>
    <n v="3"/>
    <n v="1"/>
    <d v="1956-03-01T00:00:00"/>
    <x v="5"/>
    <x v="0"/>
  </r>
  <r>
    <x v="185"/>
    <n v="1964"/>
    <n v="7"/>
    <n v="28"/>
    <d v="1964-07-28T00:00:00"/>
    <x v="18"/>
    <x v="0"/>
  </r>
  <r>
    <x v="186"/>
    <n v="1960"/>
    <n v="8"/>
    <n v="1"/>
    <d v="1960-08-01T00:00:00"/>
    <x v="35"/>
    <x v="0"/>
  </r>
  <r>
    <x v="187"/>
    <n v="1959"/>
    <n v="1"/>
    <n v="26"/>
    <d v="1959-01-26T00:00:00"/>
    <x v="29"/>
    <x v="0"/>
  </r>
  <r>
    <x v="188"/>
    <n v="1956"/>
    <n v="12"/>
    <n v="15"/>
    <d v="1956-12-15T00:00:00"/>
    <x v="8"/>
    <x v="0"/>
  </r>
  <r>
    <x v="189"/>
    <n v="1952"/>
    <n v="4"/>
    <n v="1"/>
    <d v="1952-04-01T00:00:00"/>
    <x v="50"/>
    <x v="0"/>
  </r>
  <r>
    <x v="190"/>
    <n v="1928"/>
    <n v="10"/>
    <n v="1"/>
    <d v="1928-10-01T00:00:00"/>
    <x v="51"/>
    <x v="2"/>
  </r>
  <r>
    <x v="191"/>
    <n v="1965"/>
    <n v="9"/>
    <n v="22"/>
    <d v="1965-09-22T00:00:00"/>
    <x v="41"/>
    <x v="0"/>
  </r>
  <r>
    <x v="192"/>
    <n v="1979"/>
    <n v="2"/>
    <n v="18"/>
    <d v="1979-02-18T00:00:00"/>
    <x v="52"/>
    <x v="1"/>
  </r>
  <r>
    <x v="193"/>
    <n v="1981"/>
    <n v="8"/>
    <n v="29"/>
    <d v="1981-08-29T00:00:00"/>
    <x v="49"/>
    <x v="1"/>
  </r>
  <r>
    <x v="194"/>
    <n v="1947"/>
    <n v="5"/>
    <n v="2"/>
    <d v="1947-05-02T00:00:00"/>
    <x v="32"/>
    <x v="0"/>
  </r>
  <r>
    <x v="195"/>
    <n v="1966"/>
    <n v="10"/>
    <n v="24"/>
    <d v="1966-10-24T00:00:00"/>
    <x v="33"/>
    <x v="1"/>
  </r>
  <r>
    <x v="196"/>
    <n v="1943"/>
    <n v="9"/>
    <n v="6"/>
    <d v="1943-09-06T00:00:00"/>
    <x v="53"/>
    <x v="2"/>
  </r>
  <r>
    <x v="197"/>
    <n v="1975"/>
    <n v="7"/>
    <n v="9"/>
    <d v="1975-07-09T00:00:00"/>
    <x v="45"/>
    <x v="1"/>
  </r>
  <r>
    <x v="198"/>
    <n v="1941"/>
    <n v="3"/>
    <n v="7"/>
    <d v="1941-03-07T00:00:00"/>
    <x v="27"/>
    <x v="2"/>
  </r>
  <r>
    <x v="199"/>
    <n v="1945"/>
    <n v="7"/>
    <n v="24"/>
    <d v="1945-07-24T00:00:00"/>
    <x v="23"/>
    <x v="2"/>
  </r>
  <r>
    <x v="200"/>
    <n v="1937"/>
    <n v="7"/>
    <n v="29"/>
    <d v="1937-07-29T00:00:00"/>
    <x v="20"/>
    <x v="2"/>
  </r>
  <r>
    <x v="201"/>
    <n v="1960"/>
    <n v="1"/>
    <n v="1"/>
    <d v="1960-01-01T00:00:00"/>
    <x v="46"/>
    <x v="0"/>
  </r>
  <r>
    <x v="202"/>
    <n v="1951"/>
    <n v="3"/>
    <n v="29"/>
    <d v="1951-03-29T00:00:00"/>
    <x v="26"/>
    <x v="0"/>
  </r>
  <r>
    <x v="203"/>
    <n v="1957"/>
    <n v="1"/>
    <n v="7"/>
    <d v="1957-01-07T00:00:00"/>
    <x v="8"/>
    <x v="0"/>
  </r>
  <r>
    <x v="204"/>
    <n v="1967"/>
    <n v="7"/>
    <n v="7"/>
    <d v="1967-07-07T00:00:00"/>
    <x v="42"/>
    <x v="1"/>
  </r>
  <r>
    <x v="205"/>
    <n v="1950"/>
    <n v="3"/>
    <n v="10"/>
    <d v="1950-03-10T00:00:00"/>
    <x v="16"/>
    <x v="0"/>
  </r>
  <r>
    <x v="206"/>
    <n v="1966"/>
    <n v="2"/>
    <n v="24"/>
    <d v="1966-02-24T00:00:00"/>
    <x v="41"/>
    <x v="0"/>
  </r>
  <r>
    <x v="207"/>
    <n v="1955"/>
    <n v="1"/>
    <n v="1"/>
    <d v="1955-01-01T00:00:00"/>
    <x v="13"/>
    <x v="0"/>
  </r>
  <r>
    <x v="208"/>
    <n v="1960"/>
    <n v="1"/>
    <n v="1"/>
    <d v="1960-01-01T00:00:00"/>
    <x v="46"/>
    <x v="0"/>
  </r>
  <r>
    <x v="209"/>
    <n v="1952"/>
    <n v="6"/>
    <n v="6"/>
    <d v="1952-06-06T00:00:00"/>
    <x v="37"/>
    <x v="0"/>
  </r>
  <r>
    <x v="210"/>
    <n v="1975"/>
    <n v="10"/>
    <n v="16"/>
    <d v="1975-10-16T00:00:00"/>
    <x v="45"/>
    <x v="1"/>
  </r>
  <r>
    <x v="211"/>
    <n v="1951"/>
    <n v="6"/>
    <n v="29"/>
    <d v="1951-06-29T00:00:00"/>
    <x v="50"/>
    <x v="0"/>
  </r>
  <r>
    <x v="212"/>
    <n v="1974"/>
    <n v="3"/>
    <n v="10"/>
    <d v="1974-03-10T00:00:00"/>
    <x v="12"/>
    <x v="1"/>
  </r>
  <r>
    <x v="213"/>
    <n v="1984"/>
    <n v="5"/>
    <n v="22"/>
    <d v="1984-05-22T00:00:00"/>
    <x v="14"/>
    <x v="1"/>
  </r>
  <r>
    <x v="214"/>
    <n v="1967"/>
    <n v="6"/>
    <n v="21"/>
    <d v="1967-06-21T00:00:00"/>
    <x v="42"/>
    <x v="1"/>
  </r>
  <r>
    <x v="215"/>
    <n v="1959"/>
    <n v="1"/>
    <n v="1"/>
    <d v="1959-01-01T00:00:00"/>
    <x v="29"/>
    <x v="0"/>
  </r>
  <r>
    <x v="216"/>
    <n v="1951"/>
    <n v="1"/>
    <n v="1"/>
    <d v="1951-01-01T00:00:00"/>
    <x v="26"/>
    <x v="0"/>
  </r>
  <r>
    <x v="217"/>
    <n v="1971"/>
    <n v="1"/>
    <n v="1"/>
    <d v="1971-01-01T00:00:00"/>
    <x v="38"/>
    <x v="1"/>
  </r>
  <r>
    <x v="218"/>
    <n v="1943"/>
    <n v="4"/>
    <n v="12"/>
    <d v="1943-04-12T00:00:00"/>
    <x v="36"/>
    <x v="2"/>
  </r>
  <r>
    <x v="219"/>
    <n v="1951"/>
    <n v="7"/>
    <n v="31"/>
    <d v="1951-07-31T00:00:00"/>
    <x v="50"/>
    <x v="0"/>
  </r>
  <r>
    <x v="220"/>
    <n v="1955"/>
    <n v="6"/>
    <n v="6"/>
    <d v="1955-06-06T00:00:00"/>
    <x v="5"/>
    <x v="0"/>
  </r>
  <r>
    <x v="221"/>
    <n v="1954"/>
    <n v="11"/>
    <n v="28"/>
    <d v="1954-11-28T00:00:00"/>
    <x v="13"/>
    <x v="0"/>
  </r>
  <r>
    <x v="222"/>
    <n v="1944"/>
    <n v="1"/>
    <n v="21"/>
    <d v="1944-01-21T00:00:00"/>
    <x v="53"/>
    <x v="2"/>
  </r>
  <r>
    <x v="223"/>
    <n v="1948"/>
    <n v="1"/>
    <n v="1"/>
    <d v="1948-01-01T00:00:00"/>
    <x v="32"/>
    <x v="0"/>
  </r>
  <r>
    <x v="224"/>
    <n v="1949"/>
    <n v="12"/>
    <n v="13"/>
    <d v="1949-12-13T00:00:00"/>
    <x v="16"/>
    <x v="0"/>
  </r>
  <r>
    <x v="225"/>
    <n v="1955"/>
    <n v="9"/>
    <n v="30"/>
    <d v="1955-09-30T00:00:00"/>
    <x v="5"/>
    <x v="0"/>
  </r>
  <r>
    <x v="226"/>
    <n v="1975"/>
    <n v="6"/>
    <n v="21"/>
    <d v="1975-06-21T00:00:00"/>
    <x v="45"/>
    <x v="1"/>
  </r>
  <r>
    <x v="227"/>
    <n v="1948"/>
    <n v="12"/>
    <n v="18"/>
    <d v="1948-12-18T00:00:00"/>
    <x v="0"/>
    <x v="0"/>
  </r>
  <r>
    <x v="228"/>
    <n v="1968"/>
    <n v="1"/>
    <n v="1"/>
    <d v="1968-01-01T00:00:00"/>
    <x v="42"/>
    <x v="1"/>
  </r>
  <r>
    <x v="229"/>
    <n v="1947"/>
    <n v="11"/>
    <n v="29"/>
    <d v="1947-11-29T00:00:00"/>
    <x v="32"/>
    <x v="0"/>
  </r>
  <r>
    <x v="230"/>
    <n v="1945"/>
    <n v="6"/>
    <n v="8"/>
    <d v="1945-06-08T00:00:00"/>
    <x v="23"/>
    <x v="2"/>
  </r>
  <r>
    <x v="231"/>
    <n v="1950"/>
    <n v="5"/>
    <n v="21"/>
    <d v="1950-05-21T00:00:00"/>
    <x v="26"/>
    <x v="0"/>
  </r>
  <r>
    <x v="232"/>
    <n v="1946"/>
    <n v="1"/>
    <n v="1"/>
    <d v="1946-01-01T00:00:00"/>
    <x v="23"/>
    <x v="2"/>
  </r>
  <r>
    <x v="233"/>
    <n v="1948"/>
    <n v="3"/>
    <n v="19"/>
    <d v="1948-03-19T00:00:00"/>
    <x v="32"/>
    <x v="0"/>
  </r>
  <r>
    <x v="234"/>
    <n v="1961"/>
    <n v="10"/>
    <n v="24"/>
    <d v="1961-10-24T00:00:00"/>
    <x v="15"/>
    <x v="0"/>
  </r>
  <r>
    <x v="235"/>
    <n v="1960"/>
    <n v="8"/>
    <n v="4"/>
    <d v="1960-08-04T00:00:00"/>
    <x v="35"/>
    <x v="0"/>
  </r>
  <r>
    <x v="236"/>
    <n v="1943"/>
    <n v="9"/>
    <n v="14"/>
    <d v="1943-09-14T00:00:00"/>
    <x v="53"/>
    <x v="2"/>
  </r>
  <r>
    <x v="237"/>
    <n v="1931"/>
    <n v="8"/>
    <n v="15"/>
    <d v="1931-08-15T00:00:00"/>
    <x v="54"/>
    <x v="2"/>
  </r>
  <r>
    <x v="238"/>
    <n v="1954"/>
    <n v="10"/>
    <n v="1"/>
    <d v="1954-10-01T00:00:00"/>
    <x v="13"/>
    <x v="0"/>
  </r>
  <r>
    <x v="239"/>
    <n v="1981"/>
    <n v="9"/>
    <n v="27"/>
    <d v="1981-09-27T00:00:00"/>
    <x v="49"/>
    <x v="1"/>
  </r>
  <r>
    <x v="240"/>
    <n v="1953"/>
    <n v="7"/>
    <n v="7"/>
    <d v="1953-07-07T00:00:00"/>
    <x v="9"/>
    <x v="0"/>
  </r>
  <r>
    <x v="241"/>
    <n v="1957"/>
    <n v="3"/>
    <n v="26"/>
    <d v="1957-03-26T00:00:00"/>
    <x v="8"/>
    <x v="0"/>
  </r>
  <r>
    <x v="242"/>
    <n v="1957"/>
    <n v="6"/>
    <n v="25"/>
    <d v="1957-06-25T00:00:00"/>
    <x v="17"/>
    <x v="0"/>
  </r>
  <r>
    <x v="243"/>
    <n v="1965"/>
    <n v="4"/>
    <n v="4"/>
    <d v="1965-04-04T00:00:00"/>
    <x v="18"/>
    <x v="0"/>
  </r>
  <r>
    <x v="244"/>
    <n v="1969"/>
    <n v="3"/>
    <n v="15"/>
    <d v="1969-03-15T00:00:00"/>
    <x v="24"/>
    <x v="1"/>
  </r>
  <r>
    <x v="245"/>
    <n v="1983"/>
    <n v="6"/>
    <n v="11"/>
    <d v="1983-06-11T00:00:00"/>
    <x v="21"/>
    <x v="1"/>
  </r>
  <r>
    <x v="246"/>
    <n v="1956"/>
    <n v="4"/>
    <n v="5"/>
    <d v="1956-04-05T00:00:00"/>
    <x v="5"/>
    <x v="0"/>
  </r>
  <r>
    <x v="247"/>
    <n v="1929"/>
    <n v="5"/>
    <n v="12"/>
    <d v="1929-05-12T00:00:00"/>
    <x v="48"/>
    <x v="2"/>
  </r>
  <r>
    <x v="248"/>
    <n v="1937"/>
    <n v="5"/>
    <n v="15"/>
    <d v="1937-05-15T00:00:00"/>
    <x v="20"/>
    <x v="2"/>
  </r>
  <r>
    <x v="249"/>
    <n v="1962"/>
    <n v="12"/>
    <n v="1"/>
    <d v="1962-12-01T00:00:00"/>
    <x v="19"/>
    <x v="0"/>
  </r>
  <r>
    <x v="250"/>
    <n v="1964"/>
    <n v="5"/>
    <n v="15"/>
    <d v="1964-05-15T00:00:00"/>
    <x v="18"/>
    <x v="0"/>
  </r>
  <r>
    <x v="251"/>
    <n v="1970"/>
    <n v="9"/>
    <n v="23"/>
    <d v="1970-09-23T00:00:00"/>
    <x v="38"/>
    <x v="1"/>
  </r>
  <r>
    <x v="252"/>
    <n v="1970"/>
    <n v="12"/>
    <n v="1"/>
    <d v="1970-12-01T00:00:00"/>
    <x v="38"/>
    <x v="1"/>
  </r>
  <r>
    <x v="253"/>
    <n v="1951"/>
    <n v="5"/>
    <n v="15"/>
    <d v="1951-05-15T00:00:00"/>
    <x v="50"/>
    <x v="0"/>
  </r>
  <r>
    <x v="254"/>
    <n v="1968"/>
    <n v="6"/>
    <n v="23"/>
    <d v="1968-06-23T00:00:00"/>
    <x v="24"/>
    <x v="1"/>
  </r>
  <r>
    <x v="255"/>
    <n v="1968"/>
    <n v="9"/>
    <n v="17"/>
    <d v="1968-09-17T00:00:00"/>
    <x v="24"/>
    <x v="1"/>
  </r>
  <r>
    <x v="256"/>
    <n v="1951"/>
    <n v="3"/>
    <n v="29"/>
    <d v="1951-03-29T00:00:00"/>
    <x v="26"/>
    <x v="0"/>
  </r>
  <r>
    <x v="257"/>
    <n v="1966"/>
    <n v="1"/>
    <n v="30"/>
    <d v="1966-01-30T00:00:00"/>
    <x v="41"/>
    <x v="0"/>
  </r>
  <r>
    <x v="258"/>
    <n v="1972"/>
    <n v="9"/>
    <n v="14"/>
    <d v="1972-09-14T00:00:00"/>
    <x v="10"/>
    <x v="1"/>
  </r>
  <r>
    <x v="259"/>
    <n v="1949"/>
    <n v="11"/>
    <n v="25"/>
    <d v="1949-11-25T00:00:00"/>
    <x v="16"/>
    <x v="0"/>
  </r>
  <r>
    <x v="260"/>
    <n v="1956"/>
    <n v="7"/>
    <n v="1"/>
    <d v="1956-07-01T00:00:00"/>
    <x v="8"/>
    <x v="0"/>
  </r>
  <r>
    <x v="261"/>
    <n v="1970"/>
    <n v="1"/>
    <n v="3"/>
    <d v="1970-01-03T00:00:00"/>
    <x v="34"/>
    <x v="1"/>
  </r>
  <r>
    <x v="262"/>
    <n v="1964"/>
    <n v="8"/>
    <n v="1"/>
    <d v="1964-08-01T00:00:00"/>
    <x v="18"/>
    <x v="0"/>
  </r>
  <r>
    <x v="263"/>
    <n v="1967"/>
    <n v="6"/>
    <n v="5"/>
    <d v="1967-06-05T00:00:00"/>
    <x v="42"/>
    <x v="1"/>
  </r>
  <r>
    <x v="264"/>
    <n v="1980"/>
    <n v="7"/>
    <n v="30"/>
    <d v="1980-07-30T00:00:00"/>
    <x v="55"/>
    <x v="1"/>
  </r>
  <r>
    <x v="265"/>
    <n v="1943"/>
    <n v="2"/>
    <n v="21"/>
    <d v="1943-02-21T00:00:00"/>
    <x v="36"/>
    <x v="2"/>
  </r>
  <r>
    <x v="266"/>
    <n v="1968"/>
    <n v="11"/>
    <n v="17"/>
    <d v="1968-11-17T00:00:00"/>
    <x v="24"/>
    <x v="1"/>
  </r>
  <r>
    <x v="267"/>
    <n v="1951"/>
    <n v="9"/>
    <n v="1"/>
    <d v="1951-09-01T00:00:00"/>
    <x v="50"/>
    <x v="0"/>
  </r>
  <r>
    <x v="268"/>
    <n v="1954"/>
    <n v="9"/>
    <n v="20"/>
    <d v="1954-09-20T00:00:00"/>
    <x v="13"/>
    <x v="0"/>
  </r>
  <r>
    <x v="269"/>
    <n v="1955"/>
    <n v="1"/>
    <n v="3"/>
    <d v="1955-01-03T00:00:00"/>
    <x v="13"/>
    <x v="0"/>
  </r>
  <r>
    <x v="270"/>
    <n v="1961"/>
    <n v="6"/>
    <n v="23"/>
    <d v="1961-06-23T00:00:00"/>
    <x v="15"/>
    <x v="0"/>
  </r>
  <r>
    <x v="271"/>
    <n v="1968"/>
    <n v="7"/>
    <n v="24"/>
    <d v="1968-07-24T00:00:00"/>
    <x v="24"/>
    <x v="1"/>
  </r>
  <r>
    <x v="272"/>
    <n v="1933"/>
    <n v="9"/>
    <n v="19"/>
    <d v="1933-09-19T00:00:00"/>
    <x v="56"/>
    <x v="2"/>
  </r>
  <r>
    <x v="273"/>
    <n v="1955"/>
    <n v="12"/>
    <n v="4"/>
    <d v="1955-12-04T00:00:00"/>
    <x v="5"/>
    <x v="0"/>
  </r>
  <r>
    <x v="274"/>
    <n v="1981"/>
    <n v="8"/>
    <n v="21"/>
    <d v="1981-08-21T00:00:00"/>
    <x v="49"/>
    <x v="1"/>
  </r>
  <r>
    <x v="275"/>
    <n v="1959"/>
    <n v="1"/>
    <n v="1"/>
    <d v="1959-01-01T00:00:00"/>
    <x v="29"/>
    <x v="0"/>
  </r>
  <r>
    <x v="276"/>
    <n v="1957"/>
    <n v="3"/>
    <n v="7"/>
    <d v="1957-03-07T00:00:00"/>
    <x v="8"/>
    <x v="0"/>
  </r>
  <r>
    <x v="277"/>
    <n v="1938"/>
    <n v="3"/>
    <n v="28"/>
    <d v="1938-03-28T00:00:00"/>
    <x v="20"/>
    <x v="2"/>
  </r>
  <r>
    <x v="278"/>
    <n v="1961"/>
    <n v="1"/>
    <n v="1"/>
    <d v="1961-01-01T00:00:00"/>
    <x v="35"/>
    <x v="0"/>
  </r>
  <r>
    <x v="279"/>
    <n v="1942"/>
    <n v="9"/>
    <n v="27"/>
    <d v="1942-09-27T00:00:00"/>
    <x v="36"/>
    <x v="2"/>
  </r>
  <r>
    <x v="280"/>
    <n v="1938"/>
    <n v="2"/>
    <n v="3"/>
    <d v="1938-02-03T00:00:00"/>
    <x v="20"/>
    <x v="2"/>
  </r>
  <r>
    <x v="281"/>
    <n v="1964"/>
    <n v="1"/>
    <n v="1"/>
    <d v="1964-01-01T00:00:00"/>
    <x v="2"/>
    <x v="0"/>
  </r>
  <r>
    <x v="282"/>
    <n v="1954"/>
    <n v="9"/>
    <n v="28"/>
    <d v="1954-09-28T00:00:00"/>
    <x v="13"/>
    <x v="0"/>
  </r>
  <r>
    <x v="283"/>
    <n v="1944"/>
    <n v="1"/>
    <n v="6"/>
    <d v="1944-01-06T00:00:00"/>
    <x v="53"/>
    <x v="2"/>
  </r>
  <r>
    <x v="284"/>
    <n v="1970"/>
    <n v="7"/>
    <n v="1"/>
    <d v="1970-07-01T00:00:00"/>
    <x v="38"/>
    <x v="1"/>
  </r>
  <r>
    <x v="285"/>
    <n v="1943"/>
    <n v="1"/>
    <n v="6"/>
    <d v="1943-01-06T00:00:00"/>
    <x v="36"/>
    <x v="2"/>
  </r>
  <r>
    <x v="286"/>
    <n v="1952"/>
    <n v="8"/>
    <n v="11"/>
    <d v="1952-08-11T00:00:00"/>
    <x v="37"/>
    <x v="0"/>
  </r>
  <r>
    <x v="287"/>
    <n v="1964"/>
    <n v="1"/>
    <n v="1"/>
    <d v="1964-01-01T00:00:00"/>
    <x v="2"/>
    <x v="0"/>
  </r>
  <r>
    <x v="288"/>
    <n v="1952"/>
    <n v="1"/>
    <n v="1"/>
    <d v="1952-01-01T00:00:00"/>
    <x v="50"/>
    <x v="0"/>
  </r>
  <r>
    <x v="289"/>
    <n v="1951"/>
    <n v="3"/>
    <n v="31"/>
    <d v="1951-03-31T00:00:00"/>
    <x v="26"/>
    <x v="0"/>
  </r>
  <r>
    <x v="290"/>
    <n v="1961"/>
    <n v="1"/>
    <n v="19"/>
    <d v="1961-01-19T00:00:00"/>
    <x v="35"/>
    <x v="0"/>
  </r>
  <r>
    <x v="291"/>
    <n v="1941"/>
    <n v="11"/>
    <n v="30"/>
    <d v="1941-11-30T00:00:00"/>
    <x v="6"/>
    <x v="2"/>
  </r>
  <r>
    <x v="292"/>
    <n v="1931"/>
    <n v="6"/>
    <n v="1"/>
    <d v="1931-06-01T00:00:00"/>
    <x v="54"/>
    <x v="2"/>
  </r>
  <r>
    <x v="293"/>
    <n v="1963"/>
    <n v="12"/>
    <n v="5"/>
    <d v="1963-12-05T00:00:00"/>
    <x v="2"/>
    <x v="0"/>
  </r>
  <r>
    <x v="294"/>
    <n v="1972"/>
    <n v="11"/>
    <n v="4"/>
    <d v="1972-11-04T00:00:00"/>
    <x v="10"/>
    <x v="1"/>
  </r>
  <r>
    <x v="295"/>
    <n v="1960"/>
    <n v="3"/>
    <n v="3"/>
    <d v="1960-03-03T00:00:00"/>
    <x v="46"/>
    <x v="0"/>
  </r>
  <r>
    <x v="296"/>
    <n v="1967"/>
    <n v="6"/>
    <n v="3"/>
    <d v="1967-06-03T00:00:00"/>
    <x v="42"/>
    <x v="1"/>
  </r>
  <r>
    <x v="297"/>
    <n v="1957"/>
    <n v="11"/>
    <n v="25"/>
    <d v="1957-11-25T00:00:00"/>
    <x v="17"/>
    <x v="0"/>
  </r>
  <r>
    <x v="298"/>
    <n v="1954"/>
    <n v="12"/>
    <n v="10"/>
    <d v="1954-12-10T00:00:00"/>
    <x v="13"/>
    <x v="0"/>
  </r>
  <r>
    <x v="299"/>
    <n v="1943"/>
    <n v="6"/>
    <n v="13"/>
    <d v="1943-06-13T00:00:00"/>
    <x v="53"/>
    <x v="2"/>
  </r>
  <r>
    <x v="300"/>
    <n v="1944"/>
    <n v="10"/>
    <n v="19"/>
    <d v="1944-10-19T00:00:00"/>
    <x v="3"/>
    <x v="2"/>
  </r>
  <r>
    <x v="301"/>
    <n v="1981"/>
    <n v="8"/>
    <n v="15"/>
    <d v="1981-08-15T00:00:00"/>
    <x v="49"/>
    <x v="1"/>
  </r>
  <r>
    <x v="302"/>
    <n v="1961"/>
    <n v="7"/>
    <n v="12"/>
    <d v="1961-07-12T00:00:00"/>
    <x v="15"/>
    <x v="0"/>
  </r>
  <r>
    <x v="303"/>
    <n v="1945"/>
    <n v="10"/>
    <n v="1"/>
    <d v="1945-10-01T00:00:00"/>
    <x v="23"/>
    <x v="2"/>
  </r>
  <r>
    <x v="304"/>
    <n v="1943"/>
    <n v="8"/>
    <n v="1"/>
    <d v="1943-08-01T00:00:00"/>
    <x v="53"/>
    <x v="2"/>
  </r>
  <r>
    <x v="305"/>
    <n v="1947"/>
    <n v="1"/>
    <n v="3"/>
    <d v="1947-01-03T00:00:00"/>
    <x v="31"/>
    <x v="0"/>
  </r>
  <r>
    <x v="306"/>
    <n v="1961"/>
    <n v="11"/>
    <n v="16"/>
    <d v="1961-11-16T00:00:00"/>
    <x v="15"/>
    <x v="0"/>
  </r>
  <r>
    <x v="307"/>
    <n v="1956"/>
    <n v="12"/>
    <n v="14"/>
    <d v="1956-12-14T00:00:00"/>
    <x v="8"/>
    <x v="0"/>
  </r>
  <r>
    <x v="308"/>
    <n v="1950"/>
    <n v="10"/>
    <n v="30"/>
    <d v="1950-10-30T00:00:00"/>
    <x v="26"/>
    <x v="0"/>
  </r>
  <r>
    <x v="309"/>
    <n v="1929"/>
    <n v="1"/>
    <n v="10"/>
    <d v="1929-01-10T00:00:00"/>
    <x v="51"/>
    <x v="2"/>
  </r>
  <r>
    <x v="310"/>
    <n v="1952"/>
    <n v="1"/>
    <n v="1"/>
    <d v="1952-01-01T00:00:00"/>
    <x v="50"/>
    <x v="0"/>
  </r>
  <r>
    <x v="311"/>
    <n v="1964"/>
    <n v="9"/>
    <n v="25"/>
    <d v="1964-09-25T00:00:00"/>
    <x v="18"/>
    <x v="0"/>
  </r>
  <r>
    <x v="312"/>
    <n v="1985"/>
    <n v="5"/>
    <n v="27"/>
    <d v="1985-05-27T00:00:00"/>
    <x v="57"/>
    <x v="1"/>
  </r>
  <r>
    <x v="313"/>
    <n v="1982"/>
    <n v="3"/>
    <n v="29"/>
    <d v="1982-03-29T00:00:00"/>
    <x v="49"/>
    <x v="1"/>
  </r>
  <r>
    <x v="314"/>
    <n v="1945"/>
    <n v="7"/>
    <n v="23"/>
    <d v="1945-07-23T00:00:00"/>
    <x v="23"/>
    <x v="2"/>
  </r>
  <r>
    <x v="315"/>
    <n v="1942"/>
    <n v="10"/>
    <n v="24"/>
    <d v="1942-10-24T00:00:00"/>
    <x v="36"/>
    <x v="2"/>
  </r>
  <r>
    <x v="316"/>
    <n v="1939"/>
    <n v="10"/>
    <n v="14"/>
    <d v="1939-10-14T00:00:00"/>
    <x v="7"/>
    <x v="2"/>
  </r>
  <r>
    <x v="317"/>
    <n v="1967"/>
    <n v="6"/>
    <n v="6"/>
    <d v="1967-06-06T00:00:00"/>
    <x v="42"/>
    <x v="1"/>
  </r>
  <r>
    <x v="318"/>
    <n v="1964"/>
    <n v="9"/>
    <n v="6"/>
    <d v="1964-09-06T00:00:00"/>
    <x v="18"/>
    <x v="0"/>
  </r>
  <r>
    <x v="319"/>
    <n v="1953"/>
    <n v="12"/>
    <n v="29"/>
    <d v="1953-12-29T00:00:00"/>
    <x v="9"/>
    <x v="0"/>
  </r>
  <r>
    <x v="320"/>
    <n v="1955"/>
    <n v="9"/>
    <n v="16"/>
    <d v="1955-09-16T00:00:00"/>
    <x v="5"/>
    <x v="0"/>
  </r>
  <r>
    <x v="321"/>
    <n v="1952"/>
    <n v="2"/>
    <n v="26"/>
    <d v="1952-02-26T00:00:00"/>
    <x v="50"/>
    <x v="0"/>
  </r>
  <r>
    <x v="322"/>
    <n v="1936"/>
    <n v="1"/>
    <n v="1"/>
    <d v="1936-01-01T00:00:00"/>
    <x v="11"/>
    <x v="2"/>
  </r>
  <r>
    <x v="323"/>
    <n v="1934"/>
    <n v="1"/>
    <n v="1"/>
    <d v="1934-01-01T00:00:00"/>
    <x v="56"/>
    <x v="2"/>
  </r>
  <r>
    <x v="324"/>
    <n v="1967"/>
    <n v="9"/>
    <n v="16"/>
    <d v="1967-09-16T00:00:00"/>
    <x v="42"/>
    <x v="1"/>
  </r>
  <r>
    <x v="325"/>
    <n v="1964"/>
    <n v="9"/>
    <n v="22"/>
    <d v="1964-09-22T00:00:00"/>
    <x v="18"/>
    <x v="0"/>
  </r>
  <r>
    <x v="326"/>
    <n v="1942"/>
    <n v="9"/>
    <n v="20"/>
    <d v="1942-09-20T00:00:00"/>
    <x v="36"/>
    <x v="2"/>
  </r>
  <r>
    <x v="327"/>
    <n v="1968"/>
    <n v="7"/>
    <n v="9"/>
    <d v="1968-07-09T00:00:00"/>
    <x v="24"/>
    <x v="1"/>
  </r>
  <r>
    <x v="328"/>
    <n v="1954"/>
    <n v="5"/>
    <n v="1"/>
    <d v="1954-05-01T00:00:00"/>
    <x v="13"/>
    <x v="0"/>
  </r>
  <r>
    <x v="329"/>
    <n v="1964"/>
    <n v="3"/>
    <n v="9"/>
    <d v="1964-03-09T00:00:00"/>
    <x v="2"/>
    <x v="0"/>
  </r>
  <r>
    <x v="330"/>
    <n v="1936"/>
    <n v="9"/>
    <n v="29"/>
    <d v="1936-09-29T00:00:00"/>
    <x v="22"/>
    <x v="2"/>
  </r>
  <r>
    <x v="331"/>
    <n v="1967"/>
    <n v="9"/>
    <n v="26"/>
    <d v="1967-09-26T00:00:00"/>
    <x v="42"/>
    <x v="1"/>
  </r>
  <r>
    <x v="332"/>
    <n v="1982"/>
    <n v="11"/>
    <n v="1"/>
    <d v="1982-11-01T00:00:00"/>
    <x v="58"/>
    <x v="1"/>
  </r>
  <r>
    <x v="333"/>
    <n v="1969"/>
    <n v="8"/>
    <n v="12"/>
    <d v="1969-08-12T00:00:00"/>
    <x v="34"/>
    <x v="1"/>
  </r>
  <r>
    <x v="334"/>
    <n v="1964"/>
    <n v="11"/>
    <n v="18"/>
    <d v="1964-11-18T00:00:00"/>
    <x v="18"/>
    <x v="0"/>
  </r>
  <r>
    <x v="335"/>
    <n v="1961"/>
    <n v="11"/>
    <n v="11"/>
    <d v="1961-11-11T00:00:00"/>
    <x v="15"/>
    <x v="0"/>
  </r>
  <r>
    <x v="336"/>
    <n v="1929"/>
    <n v="1"/>
    <n v="3"/>
    <d v="1929-01-03T00:00:00"/>
    <x v="51"/>
    <x v="2"/>
  </r>
  <r>
    <x v="337"/>
    <n v="1969"/>
    <n v="12"/>
    <n v="21"/>
    <d v="1969-12-21T00:00:00"/>
    <x v="34"/>
    <x v="1"/>
  </r>
  <r>
    <x v="338"/>
    <n v="1961"/>
    <n v="7"/>
    <n v="15"/>
    <d v="1961-07-15T00:00:00"/>
    <x v="15"/>
    <x v="0"/>
  </r>
  <r>
    <x v="339"/>
    <n v="1957"/>
    <n v="4"/>
    <n v="14"/>
    <d v="1957-04-14T00:00:00"/>
    <x v="8"/>
    <x v="0"/>
  </r>
  <r>
    <x v="340"/>
    <n v="1964"/>
    <n v="12"/>
    <n v="14"/>
    <d v="1964-12-14T00:00:00"/>
    <x v="18"/>
    <x v="0"/>
  </r>
  <r>
    <x v="341"/>
    <n v="1961"/>
    <n v="8"/>
    <n v="28"/>
    <d v="1961-08-28T00:00:00"/>
    <x v="15"/>
    <x v="0"/>
  </r>
  <r>
    <x v="342"/>
    <n v="1950"/>
    <n v="11"/>
    <n v="29"/>
    <d v="1950-11-29T00:00:00"/>
    <x v="26"/>
    <x v="0"/>
  </r>
  <r>
    <x v="343"/>
    <n v="1966"/>
    <n v="10"/>
    <n v="27"/>
    <d v="1966-10-27T00:00:00"/>
    <x v="33"/>
    <x v="1"/>
  </r>
  <r>
    <x v="344"/>
    <n v="1947"/>
    <n v="12"/>
    <n v="27"/>
    <d v="1947-12-27T00:00:00"/>
    <x v="32"/>
    <x v="0"/>
  </r>
  <r>
    <x v="345"/>
    <n v="1976"/>
    <n v="1"/>
    <n v="1"/>
    <d v="1976-01-01T00:00:00"/>
    <x v="45"/>
    <x v="1"/>
  </r>
  <r>
    <x v="346"/>
    <n v="1979"/>
    <n v="1"/>
    <n v="1"/>
    <d v="1979-01-01T00:00:00"/>
    <x v="52"/>
    <x v="1"/>
  </r>
  <r>
    <x v="347"/>
    <n v="1943"/>
    <n v="1"/>
    <n v="1"/>
    <d v="1943-01-01T00:00:00"/>
    <x v="36"/>
    <x v="2"/>
  </r>
  <r>
    <x v="348"/>
    <n v="1968"/>
    <n v="1"/>
    <n v="1"/>
    <d v="1968-01-01T00:00:00"/>
    <x v="42"/>
    <x v="1"/>
  </r>
  <r>
    <x v="349"/>
    <n v="1962"/>
    <n v="8"/>
    <n v="1"/>
    <d v="1962-08-01T00:00:00"/>
    <x v="19"/>
    <x v="0"/>
  </r>
  <r>
    <x v="350"/>
    <n v="1969"/>
    <n v="1"/>
    <n v="1"/>
    <d v="1969-01-01T00:00:00"/>
    <x v="24"/>
    <x v="1"/>
  </r>
  <r>
    <x v="351"/>
    <n v="1967"/>
    <n v="8"/>
    <n v="25"/>
    <d v="1967-08-25T00:00:00"/>
    <x v="42"/>
    <x v="1"/>
  </r>
  <r>
    <x v="352"/>
    <n v="1951"/>
    <n v="3"/>
    <n v="27"/>
    <d v="1951-03-27T00:00:00"/>
    <x v="26"/>
    <x v="0"/>
  </r>
  <r>
    <x v="353"/>
    <n v="1938"/>
    <n v="12"/>
    <n v="25"/>
    <d v="1938-12-25T00:00:00"/>
    <x v="30"/>
    <x v="2"/>
  </r>
  <r>
    <x v="354"/>
    <n v="1939"/>
    <n v="5"/>
    <n v="23"/>
    <d v="1939-05-23T00:00:00"/>
    <x v="7"/>
    <x v="2"/>
  </r>
  <r>
    <x v="355"/>
    <n v="1930"/>
    <n v="8"/>
    <n v="12"/>
    <d v="1930-08-12T00:00:00"/>
    <x v="4"/>
    <x v="2"/>
  </r>
  <r>
    <x v="356"/>
    <n v="1951"/>
    <n v="10"/>
    <n v="12"/>
    <d v="1951-10-12T00:00:00"/>
    <x v="50"/>
    <x v="0"/>
  </r>
  <r>
    <x v="357"/>
    <n v="1983"/>
    <n v="5"/>
    <n v="18"/>
    <d v="1983-05-18T00:00:00"/>
    <x v="21"/>
    <x v="1"/>
  </r>
  <r>
    <x v="358"/>
    <n v="1941"/>
    <n v="8"/>
    <n v="12"/>
    <d v="1941-08-12T00:00:00"/>
    <x v="6"/>
    <x v="2"/>
  </r>
  <r>
    <x v="359"/>
    <n v="1958"/>
    <n v="1"/>
    <n v="1"/>
    <d v="1958-01-01T00:00:00"/>
    <x v="17"/>
    <x v="0"/>
  </r>
  <r>
    <x v="360"/>
    <n v="1976"/>
    <n v="1"/>
    <n v="1"/>
    <d v="1976-01-01T00:00:00"/>
    <x v="45"/>
    <x v="1"/>
  </r>
  <r>
    <x v="361"/>
    <n v="1954"/>
    <n v="4"/>
    <n v="22"/>
    <d v="1954-04-22T00:00:00"/>
    <x v="13"/>
    <x v="0"/>
  </r>
  <r>
    <x v="362"/>
    <n v="1953"/>
    <n v="3"/>
    <n v="1"/>
    <d v="1953-03-01T00:00:00"/>
    <x v="37"/>
    <x v="0"/>
  </r>
  <r>
    <x v="363"/>
    <n v="1955"/>
    <n v="12"/>
    <n v="17"/>
    <d v="1955-12-17T00:00:00"/>
    <x v="5"/>
    <x v="0"/>
  </r>
  <r>
    <x v="364"/>
    <n v="1945"/>
    <n v="2"/>
    <n v="25"/>
    <d v="1945-02-25T00:00:00"/>
    <x v="3"/>
    <x v="2"/>
  </r>
  <r>
    <x v="365"/>
    <n v="1959"/>
    <n v="10"/>
    <n v="8"/>
    <d v="1959-10-08T00:00:00"/>
    <x v="46"/>
    <x v="0"/>
  </r>
  <r>
    <x v="366"/>
    <n v="1976"/>
    <n v="1"/>
    <n v="7"/>
    <d v="1976-01-07T00:00:00"/>
    <x v="45"/>
    <x v="1"/>
  </r>
  <r>
    <x v="367"/>
    <n v="1942"/>
    <n v="11"/>
    <n v="27"/>
    <d v="1942-11-27T00:00:00"/>
    <x v="36"/>
    <x v="2"/>
  </r>
  <r>
    <x v="368"/>
    <n v="1964"/>
    <n v="8"/>
    <n v="15"/>
    <d v="1964-08-15T00:00:00"/>
    <x v="18"/>
    <x v="0"/>
  </r>
  <r>
    <x v="369"/>
    <n v="1930"/>
    <n v="2"/>
    <n v="27"/>
    <d v="1930-02-27T00:00:00"/>
    <x v="48"/>
    <x v="2"/>
  </r>
  <r>
    <x v="370"/>
    <n v="1938"/>
    <n v="9"/>
    <n v="1"/>
    <d v="1938-09-01T00:00:00"/>
    <x v="30"/>
    <x v="2"/>
  </r>
  <r>
    <x v="371"/>
    <n v="1971"/>
    <n v="4"/>
    <n v="22"/>
    <d v="1971-04-22T00:00:00"/>
    <x v="1"/>
    <x v="1"/>
  </r>
  <r>
    <x v="372"/>
    <n v="1951"/>
    <n v="8"/>
    <n v="19"/>
    <d v="1951-08-19T00:00:00"/>
    <x v="50"/>
    <x v="0"/>
  </r>
  <r>
    <x v="373"/>
    <n v="1960"/>
    <n v="4"/>
    <n v="10"/>
    <d v="1960-04-10T00:00:00"/>
    <x v="46"/>
    <x v="0"/>
  </r>
  <r>
    <x v="374"/>
    <n v="1953"/>
    <n v="6"/>
    <n v="14"/>
    <d v="1953-06-14T00:00:00"/>
    <x v="9"/>
    <x v="0"/>
  </r>
  <r>
    <x v="375"/>
    <n v="1963"/>
    <n v="11"/>
    <n v="1"/>
    <d v="1963-11-01T00:00:00"/>
    <x v="2"/>
    <x v="0"/>
  </r>
  <r>
    <x v="376"/>
    <n v="1962"/>
    <n v="10"/>
    <n v="15"/>
    <d v="1962-10-15T00:00:00"/>
    <x v="19"/>
    <x v="0"/>
  </r>
  <r>
    <x v="377"/>
    <n v="1933"/>
    <n v="1"/>
    <n v="27"/>
    <d v="1933-01-27T00:00:00"/>
    <x v="40"/>
    <x v="2"/>
  </r>
  <r>
    <x v="378"/>
    <n v="1934"/>
    <n v="7"/>
    <n v="27"/>
    <d v="1934-07-27T00:00:00"/>
    <x v="47"/>
    <x v="2"/>
  </r>
  <r>
    <x v="379"/>
    <n v="1945"/>
    <n v="10"/>
    <n v="23"/>
    <d v="1945-10-23T00:00:00"/>
    <x v="23"/>
    <x v="2"/>
  </r>
  <r>
    <x v="380"/>
    <n v="1965"/>
    <n v="1"/>
    <n v="1"/>
    <d v="1965-01-01T00:00:00"/>
    <x v="18"/>
    <x v="0"/>
  </r>
  <r>
    <x v="381"/>
    <n v="1956"/>
    <n v="6"/>
    <n v="1"/>
    <d v="1956-06-01T00:00:00"/>
    <x v="8"/>
    <x v="0"/>
  </r>
  <r>
    <x v="382"/>
    <n v="1938"/>
    <n v="1"/>
    <n v="1"/>
    <d v="1938-01-01T00:00:00"/>
    <x v="20"/>
    <x v="2"/>
  </r>
  <r>
    <x v="383"/>
    <n v="1964"/>
    <n v="3"/>
    <n v="11"/>
    <d v="1964-03-11T00:00:00"/>
    <x v="2"/>
    <x v="0"/>
  </r>
  <r>
    <x v="384"/>
    <n v="1926"/>
    <n v="7"/>
    <n v="16"/>
    <d v="1926-07-16T00:00:00"/>
    <x v="59"/>
    <x v="2"/>
  </r>
  <r>
    <x v="385"/>
    <n v="1963"/>
    <n v="5"/>
    <n v="2"/>
    <d v="1963-05-02T00:00:00"/>
    <x v="2"/>
    <x v="0"/>
  </r>
  <r>
    <x v="386"/>
    <n v="1938"/>
    <n v="3"/>
    <n v="3"/>
    <d v="1938-03-03T00:00:00"/>
    <x v="20"/>
    <x v="2"/>
  </r>
  <r>
    <x v="387"/>
    <n v="1933"/>
    <n v="8"/>
    <n v="2"/>
    <d v="1933-08-02T00:00:00"/>
    <x v="56"/>
    <x v="2"/>
  </r>
  <r>
    <x v="388"/>
    <n v="1964"/>
    <n v="1"/>
    <n v="1"/>
    <d v="1964-01-01T00:00:00"/>
    <x v="2"/>
    <x v="0"/>
  </r>
  <r>
    <x v="389"/>
    <n v="1964"/>
    <n v="1"/>
    <n v="1"/>
    <d v="1964-01-01T00:00:00"/>
    <x v="2"/>
    <x v="0"/>
  </r>
  <r>
    <x v="390"/>
    <n v="1972"/>
    <n v="1"/>
    <n v="1"/>
    <d v="1972-01-01T00:00:00"/>
    <x v="1"/>
    <x v="1"/>
  </r>
  <r>
    <x v="391"/>
    <n v="1962"/>
    <n v="7"/>
    <n v="11"/>
    <d v="1962-07-11T00:00:00"/>
    <x v="19"/>
    <x v="0"/>
  </r>
  <r>
    <x v="392"/>
    <n v="1953"/>
    <n v="4"/>
    <n v="29"/>
    <d v="1953-04-29T00:00:00"/>
    <x v="9"/>
    <x v="0"/>
  </r>
  <r>
    <x v="393"/>
    <n v="1964"/>
    <n v="7"/>
    <n v="31"/>
    <d v="1964-07-31T00:00:00"/>
    <x v="18"/>
    <x v="0"/>
  </r>
  <r>
    <x v="394"/>
    <n v="1943"/>
    <n v="9"/>
    <n v="28"/>
    <d v="1943-09-28T00:00:00"/>
    <x v="53"/>
    <x v="2"/>
  </r>
  <r>
    <x v="395"/>
    <n v="1951"/>
    <n v="1"/>
    <n v="1"/>
    <d v="1951-01-01T00:00:00"/>
    <x v="26"/>
    <x v="0"/>
  </r>
  <r>
    <x v="396"/>
    <n v="1959"/>
    <n v="2"/>
    <n v="20"/>
    <d v="1959-02-20T00:00:00"/>
    <x v="29"/>
    <x v="0"/>
  </r>
  <r>
    <x v="397"/>
    <n v="1938"/>
    <n v="1"/>
    <n v="12"/>
    <d v="1938-01-12T00:00:00"/>
    <x v="20"/>
    <x v="2"/>
  </r>
  <r>
    <x v="398"/>
    <n v="1949"/>
    <n v="2"/>
    <n v="18"/>
    <d v="1949-02-18T00:00:00"/>
    <x v="0"/>
    <x v="0"/>
  </r>
  <r>
    <x v="399"/>
    <n v="1959"/>
    <n v="8"/>
    <n v="26"/>
    <d v="1959-08-26T00:00:00"/>
    <x v="46"/>
    <x v="0"/>
  </r>
  <r>
    <x v="400"/>
    <n v="1958"/>
    <n v="1"/>
    <n v="1"/>
    <d v="1958-01-01T00:00:00"/>
    <x v="17"/>
    <x v="0"/>
  </r>
  <r>
    <x v="401"/>
    <n v="1934"/>
    <n v="11"/>
    <n v="2"/>
    <d v="1934-11-02T00:00:00"/>
    <x v="47"/>
    <x v="2"/>
  </r>
  <r>
    <x v="402"/>
    <n v="1930"/>
    <n v="10"/>
    <n v="22"/>
    <d v="1930-10-22T00:00:00"/>
    <x v="4"/>
    <x v="2"/>
  </r>
  <r>
    <x v="403"/>
    <n v="1946"/>
    <n v="7"/>
    <n v="4"/>
    <d v="1946-07-04T00:00:00"/>
    <x v="31"/>
    <x v="0"/>
  </r>
  <r>
    <x v="404"/>
    <n v="1951"/>
    <n v="7"/>
    <n v="2"/>
    <d v="1951-07-02T00:00:00"/>
    <x v="50"/>
    <x v="0"/>
  </r>
  <r>
    <x v="405"/>
    <n v="1937"/>
    <n v="9"/>
    <n v="8"/>
    <d v="1937-09-08T00:00:00"/>
    <x v="20"/>
    <x v="2"/>
  </r>
  <r>
    <x v="406"/>
    <n v="1963"/>
    <n v="1"/>
    <n v="1"/>
    <d v="1963-01-01T00:00:00"/>
    <x v="19"/>
    <x v="0"/>
  </r>
  <r>
    <x v="407"/>
    <n v="1930"/>
    <n v="4"/>
    <n v="1"/>
    <d v="1930-04-01T00:00:00"/>
    <x v="48"/>
    <x v="2"/>
  </r>
  <r>
    <x v="408"/>
    <n v="1961"/>
    <n v="4"/>
    <n v="23"/>
    <d v="1961-04-23T00:00:00"/>
    <x v="15"/>
    <x v="0"/>
  </r>
  <r>
    <x v="409"/>
    <n v="1960"/>
    <n v="10"/>
    <n v="12"/>
    <d v="1960-10-12T00:00:00"/>
    <x v="35"/>
    <x v="0"/>
  </r>
  <r>
    <x v="410"/>
    <n v="1957"/>
    <n v="1"/>
    <n v="15"/>
    <d v="1957-01-15T00:00:00"/>
    <x v="8"/>
    <x v="0"/>
  </r>
  <r>
    <x v="411"/>
    <n v="1964"/>
    <n v="12"/>
    <n v="29"/>
    <d v="1964-12-29T00:00:00"/>
    <x v="18"/>
    <x v="0"/>
  </r>
  <r>
    <x v="412"/>
    <n v="1947"/>
    <n v="10"/>
    <n v="25"/>
    <d v="1947-10-25T00:00:00"/>
    <x v="32"/>
    <x v="0"/>
  </r>
  <r>
    <x v="413"/>
    <n v="1952"/>
    <n v="7"/>
    <n v="29"/>
    <d v="1952-07-29T00:00:00"/>
    <x v="37"/>
    <x v="0"/>
  </r>
  <r>
    <x v="414"/>
    <n v="1966"/>
    <n v="9"/>
    <n v="21"/>
    <d v="1966-09-21T00:00:00"/>
    <x v="33"/>
    <x v="1"/>
  </r>
  <r>
    <x v="415"/>
    <n v="1934"/>
    <n v="9"/>
    <n v="15"/>
    <d v="1934-09-15T00:00:00"/>
    <x v="47"/>
    <x v="2"/>
  </r>
  <r>
    <x v="416"/>
    <n v="1930"/>
    <n v="1"/>
    <n v="1"/>
    <d v="1930-01-01T00:00:00"/>
    <x v="48"/>
    <x v="2"/>
  </r>
  <r>
    <x v="417"/>
    <n v="1951"/>
    <n v="8"/>
    <n v="5"/>
    <d v="1951-08-05T00:00:00"/>
    <x v="50"/>
    <x v="0"/>
  </r>
  <r>
    <x v="418"/>
    <n v="1945"/>
    <n v="12"/>
    <n v="17"/>
    <d v="1945-12-17T00:00:00"/>
    <x v="23"/>
    <x v="2"/>
  </r>
  <r>
    <x v="419"/>
    <n v="1971"/>
    <n v="11"/>
    <n v="2"/>
    <d v="1971-11-02T00:00:00"/>
    <x v="1"/>
    <x v="1"/>
  </r>
  <r>
    <x v="420"/>
    <n v="1964"/>
    <n v="4"/>
    <n v="1"/>
    <d v="1964-04-01T00:00:00"/>
    <x v="2"/>
    <x v="0"/>
  </r>
  <r>
    <x v="421"/>
    <n v="1966"/>
    <n v="8"/>
    <n v="12"/>
    <d v="1966-08-12T00:00:00"/>
    <x v="33"/>
    <x v="1"/>
  </r>
  <r>
    <x v="422"/>
    <n v="1943"/>
    <n v="4"/>
    <n v="6"/>
    <d v="1943-04-06T00:00:00"/>
    <x v="36"/>
    <x v="2"/>
  </r>
  <r>
    <x v="423"/>
    <n v="1970"/>
    <n v="12"/>
    <n v="1"/>
    <d v="1970-12-01T00:00:00"/>
    <x v="38"/>
    <x v="1"/>
  </r>
  <r>
    <x v="424"/>
    <n v="1942"/>
    <n v="3"/>
    <n v="5"/>
    <d v="1942-03-05T00:00:00"/>
    <x v="6"/>
    <x v="2"/>
  </r>
  <r>
    <x v="425"/>
    <n v="1935"/>
    <n v="9"/>
    <n v="16"/>
    <d v="1935-09-16T00:00:00"/>
    <x v="11"/>
    <x v="2"/>
  </r>
  <r>
    <x v="426"/>
    <n v="1967"/>
    <n v="1"/>
    <n v="1"/>
    <d v="1967-01-01T00:00:00"/>
    <x v="33"/>
    <x v="1"/>
  </r>
  <r>
    <x v="427"/>
    <n v="1958"/>
    <n v="1"/>
    <n v="7"/>
    <d v="1958-01-07T00:00:00"/>
    <x v="17"/>
    <x v="0"/>
  </r>
  <r>
    <x v="428"/>
    <n v="1953"/>
    <n v="9"/>
    <n v="26"/>
    <d v="1953-09-26T00:00:00"/>
    <x v="9"/>
    <x v="0"/>
  </r>
  <r>
    <x v="429"/>
    <n v="1971"/>
    <n v="11"/>
    <n v="1"/>
    <d v="1971-11-01T00:00:00"/>
    <x v="1"/>
    <x v="1"/>
  </r>
  <r>
    <x v="430"/>
    <n v="1957"/>
    <n v="10"/>
    <n v="23"/>
    <d v="1957-10-23T00:00:00"/>
    <x v="17"/>
    <x v="0"/>
  </r>
  <r>
    <x v="431"/>
    <n v="1964"/>
    <n v="1"/>
    <n v="1"/>
    <d v="1964-01-01T00:00:00"/>
    <x v="2"/>
    <x v="0"/>
  </r>
  <r>
    <x v="432"/>
    <n v="1949"/>
    <n v="6"/>
    <n v="29"/>
    <d v="1949-06-29T00:00:00"/>
    <x v="16"/>
    <x v="0"/>
  </r>
  <r>
    <x v="433"/>
    <n v="1957"/>
    <n v="4"/>
    <n v="12"/>
    <d v="1957-04-12T00:00:00"/>
    <x v="8"/>
    <x v="0"/>
  </r>
  <r>
    <x v="434"/>
    <n v="1990"/>
    <n v="8"/>
    <n v="6"/>
    <d v="1990-08-06T00:00:00"/>
    <x v="60"/>
    <x v="1"/>
  </r>
  <r>
    <x v="435"/>
    <n v="1988"/>
    <n v="9"/>
    <n v="9"/>
    <d v="1988-09-09T00:00:00"/>
    <x v="61"/>
    <x v="1"/>
  </r>
  <r>
    <x v="436"/>
    <n v="1929"/>
    <n v="4"/>
    <n v="10"/>
    <d v="1929-04-10T00:00:00"/>
    <x v="51"/>
    <x v="2"/>
  </r>
  <r>
    <x v="437"/>
    <n v="1945"/>
    <n v="5"/>
    <n v="22"/>
    <d v="1945-05-22T00:00:00"/>
    <x v="23"/>
    <x v="2"/>
  </r>
  <r>
    <x v="438"/>
    <n v="1965"/>
    <n v="2"/>
    <n v="27"/>
    <d v="1965-02-27T00:00:00"/>
    <x v="18"/>
    <x v="0"/>
  </r>
  <r>
    <x v="439"/>
    <n v="1928"/>
    <n v="3"/>
    <n v="20"/>
    <d v="1928-03-20T00:00:00"/>
    <x v="44"/>
    <x v="2"/>
  </r>
  <r>
    <x v="440"/>
    <n v="1955"/>
    <n v="3"/>
    <n v="1"/>
    <d v="1955-03-01T00:00:00"/>
    <x v="13"/>
    <x v="0"/>
  </r>
  <r>
    <x v="441"/>
    <n v="1941"/>
    <n v="6"/>
    <n v="4"/>
    <d v="1941-06-04T00:00:00"/>
    <x v="6"/>
    <x v="2"/>
  </r>
  <r>
    <x v="442"/>
    <n v="1965"/>
    <n v="1"/>
    <n v="1"/>
    <d v="1965-01-01T00:00:00"/>
    <x v="18"/>
    <x v="0"/>
  </r>
  <r>
    <x v="443"/>
    <n v="1956"/>
    <n v="8"/>
    <n v="21"/>
    <d v="1956-08-21T00:00:00"/>
    <x v="8"/>
    <x v="0"/>
  </r>
  <r>
    <x v="444"/>
    <n v="1945"/>
    <n v="1"/>
    <n v="12"/>
    <d v="1945-01-12T00:00:00"/>
    <x v="3"/>
    <x v="2"/>
  </r>
  <r>
    <x v="445"/>
    <n v="1944"/>
    <n v="8"/>
    <n v="22"/>
    <d v="1944-08-22T00:00:00"/>
    <x v="3"/>
    <x v="2"/>
  </r>
  <r>
    <x v="446"/>
    <n v="1943"/>
    <n v="3"/>
    <n v="20"/>
    <d v="1943-03-20T00:00:00"/>
    <x v="36"/>
    <x v="2"/>
  </r>
  <r>
    <x v="447"/>
    <n v="1942"/>
    <n v="4"/>
    <n v="15"/>
    <d v="1942-04-15T00:00:00"/>
    <x v="6"/>
    <x v="2"/>
  </r>
  <r>
    <x v="448"/>
    <n v="1955"/>
    <n v="4"/>
    <n v="1"/>
    <d v="1955-04-01T00:00:00"/>
    <x v="13"/>
    <x v="0"/>
  </r>
  <r>
    <x v="449"/>
    <n v="1967"/>
    <n v="1"/>
    <n v="1"/>
    <d v="1967-01-01T00:00:00"/>
    <x v="33"/>
    <x v="1"/>
  </r>
  <r>
    <x v="450"/>
    <n v="1946"/>
    <n v="1"/>
    <n v="1"/>
    <d v="1946-01-01T00:00:00"/>
    <x v="23"/>
    <x v="2"/>
  </r>
  <r>
    <x v="451"/>
    <n v="1941"/>
    <n v="4"/>
    <n v="19"/>
    <d v="1941-04-19T00:00:00"/>
    <x v="27"/>
    <x v="2"/>
  </r>
  <r>
    <x v="452"/>
    <n v="1980"/>
    <n v="1"/>
    <n v="6"/>
    <d v="1980-01-06T00:00:00"/>
    <x v="28"/>
    <x v="1"/>
  </r>
  <r>
    <x v="453"/>
    <n v="1955"/>
    <n v="2"/>
    <n v="15"/>
    <d v="1955-02-15T00:00:00"/>
    <x v="13"/>
    <x v="0"/>
  </r>
  <r>
    <x v="454"/>
    <n v="1965"/>
    <n v="1"/>
    <n v="1"/>
    <d v="1965-01-01T00:00:00"/>
    <x v="18"/>
    <x v="0"/>
  </r>
  <r>
    <x v="455"/>
    <n v="1946"/>
    <n v="2"/>
    <n v="5"/>
    <d v="1946-02-05T00:00:00"/>
    <x v="23"/>
    <x v="2"/>
  </r>
  <r>
    <x v="456"/>
    <n v="1949"/>
    <n v="5"/>
    <n v="10"/>
    <d v="1949-05-10T00:00:00"/>
    <x v="16"/>
    <x v="0"/>
  </r>
  <r>
    <x v="457"/>
    <n v="1952"/>
    <n v="10"/>
    <n v="4"/>
    <d v="1952-10-04T00:00:00"/>
    <x v="37"/>
    <x v="0"/>
  </r>
  <r>
    <x v="458"/>
    <n v="1965"/>
    <n v="3"/>
    <n v="30"/>
    <d v="1965-03-30T00:00:00"/>
    <x v="18"/>
    <x v="0"/>
  </r>
  <r>
    <x v="459"/>
    <n v="1963"/>
    <n v="7"/>
    <n v="13"/>
    <d v="1963-07-13T00:00:00"/>
    <x v="2"/>
    <x v="0"/>
  </r>
  <r>
    <x v="460"/>
    <n v="1951"/>
    <n v="10"/>
    <n v="8"/>
    <d v="1951-10-08T00:00:00"/>
    <x v="50"/>
    <x v="0"/>
  </r>
  <r>
    <x v="461"/>
    <n v="1973"/>
    <n v="9"/>
    <n v="20"/>
    <d v="1973-09-20T00:00:00"/>
    <x v="12"/>
    <x v="1"/>
  </r>
  <r>
    <x v="462"/>
    <n v="1959"/>
    <n v="1"/>
    <n v="7"/>
    <d v="1959-01-07T00:00:00"/>
    <x v="29"/>
    <x v="0"/>
  </r>
  <r>
    <x v="463"/>
    <n v="1962"/>
    <n v="9"/>
    <n v="26"/>
    <d v="1962-09-26T00:00:00"/>
    <x v="19"/>
    <x v="0"/>
  </r>
  <r>
    <x v="463"/>
    <n v="1962"/>
    <n v="9"/>
    <n v="26"/>
    <d v="1962-09-26T00:00:00"/>
    <x v="19"/>
    <x v="0"/>
  </r>
  <r>
    <x v="464"/>
    <n v="1963"/>
    <n v="5"/>
    <n v="7"/>
    <d v="1963-05-07T00:00:00"/>
    <x v="2"/>
    <x v="0"/>
  </r>
  <r>
    <x v="465"/>
    <n v="1957"/>
    <n v="7"/>
    <n v="4"/>
    <d v="1957-07-04T00:00:00"/>
    <x v="17"/>
    <x v="0"/>
  </r>
  <r>
    <x v="466"/>
    <n v="1944"/>
    <n v="5"/>
    <n v="13"/>
    <d v="1944-05-13T00:00:00"/>
    <x v="3"/>
    <x v="2"/>
  </r>
  <r>
    <x v="467"/>
    <n v="1950"/>
    <n v="6"/>
    <n v="6"/>
    <d v="1950-06-06T00:00:00"/>
    <x v="26"/>
    <x v="0"/>
  </r>
  <r>
    <x v="468"/>
    <n v="1943"/>
    <n v="1"/>
    <n v="2"/>
    <d v="1943-01-02T00:00:00"/>
    <x v="36"/>
    <x v="2"/>
  </r>
  <r>
    <x v="469"/>
    <n v="1936"/>
    <n v="12"/>
    <n v="24"/>
    <d v="1936-12-24T00:00:00"/>
    <x v="22"/>
    <x v="2"/>
  </r>
  <r>
    <x v="470"/>
    <n v="1944"/>
    <n v="8"/>
    <n v="30"/>
    <d v="1944-08-30T00:00:00"/>
    <x v="3"/>
    <x v="2"/>
  </r>
  <r>
    <x v="471"/>
    <n v="1960"/>
    <n v="5"/>
    <n v="22"/>
    <d v="1960-05-22T00:00:00"/>
    <x v="35"/>
    <x v="0"/>
  </r>
  <r>
    <x v="472"/>
    <n v="1941"/>
    <n v="5"/>
    <n v="19"/>
    <d v="1941-05-19T00:00:00"/>
    <x v="6"/>
    <x v="2"/>
  </r>
  <r>
    <x v="473"/>
    <n v="1945"/>
    <n v="6"/>
    <n v="2"/>
    <d v="1945-06-02T00:00:00"/>
    <x v="23"/>
    <x v="2"/>
  </r>
  <r>
    <x v="474"/>
    <n v="1955"/>
    <n v="11"/>
    <n v="15"/>
    <d v="1955-11-15T00:00:00"/>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E225A-71B7-4689-BA7B-570882765B62}" name="PivotTable1"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1">
  <location ref="N7:O9" firstHeaderRow="1" firstDataRow="1" firstDataCol="1"/>
  <pivotFields count="17">
    <pivotField showAll="0"/>
    <pivotField showAll="0"/>
    <pivotField showAll="0">
      <items count="41">
        <item h="1" x="13"/>
        <item h="1" x="10"/>
        <item x="9"/>
        <item h="1" x="26"/>
        <item h="1" x="6"/>
        <item h="1" x="17"/>
        <item h="1" x="5"/>
        <item h="1" x="34"/>
        <item h="1" x="18"/>
        <item h="1" x="33"/>
        <item h="1" x="32"/>
        <item h="1" x="0"/>
        <item h="1" x="7"/>
        <item h="1" x="3"/>
        <item h="1" x="14"/>
        <item h="1" x="23"/>
        <item h="1" x="24"/>
        <item h="1" x="11"/>
        <item h="1" x="27"/>
        <item h="1" x="2"/>
        <item h="1" x="35"/>
        <item h="1" x="29"/>
        <item h="1" x="22"/>
        <item h="1" x="31"/>
        <item h="1" x="30"/>
        <item h="1" x="36"/>
        <item h="1" x="16"/>
        <item h="1" x="21"/>
        <item h="1" x="25"/>
        <item h="1" x="28"/>
        <item h="1" x="4"/>
        <item h="1" x="19"/>
        <item h="1" x="8"/>
        <item h="1" x="20"/>
        <item h="1" x="38"/>
        <item h="1" x="37"/>
        <item h="1" x="15"/>
        <item h="1" x="12"/>
        <item h="1" x="1"/>
        <item h="1" x="39"/>
        <item t="default"/>
      </items>
    </pivotField>
    <pivotField showAll="0"/>
    <pivotField axis="axisRow" showAll="0" measureFilter="1" sortType="descending">
      <items count="238">
        <item x="100"/>
        <item x="160"/>
        <item x="122"/>
        <item x="84"/>
        <item x="127"/>
        <item x="75"/>
        <item x="138"/>
        <item x="2"/>
        <item x="178"/>
        <item x="98"/>
        <item x="166"/>
        <item x="97"/>
        <item x="63"/>
        <item x="93"/>
        <item x="74"/>
        <item x="113"/>
        <item x="46"/>
        <item x="110"/>
        <item x="30"/>
        <item x="66"/>
        <item x="80"/>
        <item x="203"/>
        <item x="4"/>
        <item x="170"/>
        <item x="12"/>
        <item x="198"/>
        <item x="221"/>
        <item x="120"/>
        <item x="6"/>
        <item x="45"/>
        <item x="38"/>
        <item x="89"/>
        <item x="112"/>
        <item x="125"/>
        <item x="25"/>
        <item x="181"/>
        <item x="222"/>
        <item x="232"/>
        <item x="27"/>
        <item x="161"/>
        <item x="88"/>
        <item x="33"/>
        <item x="53"/>
        <item x="49"/>
        <item x="195"/>
        <item x="42"/>
        <item x="144"/>
        <item x="208"/>
        <item x="87"/>
        <item x="193"/>
        <item x="174"/>
        <item x="159"/>
        <item x="199"/>
        <item x="231"/>
        <item x="210"/>
        <item x="109"/>
        <item x="91"/>
        <item x="17"/>
        <item x="137"/>
        <item x="43"/>
        <item x="8"/>
        <item x="132"/>
        <item x="130"/>
        <item x="34"/>
        <item x="176"/>
        <item x="164"/>
        <item x="96"/>
        <item x="124"/>
        <item x="104"/>
        <item x="58"/>
        <item x="13"/>
        <item x="31"/>
        <item x="35"/>
        <item x="102"/>
        <item x="115"/>
        <item x="44"/>
        <item x="54"/>
        <item x="213"/>
        <item x="234"/>
        <item x="76"/>
        <item x="150"/>
        <item x="168"/>
        <item x="121"/>
        <item x="179"/>
        <item x="214"/>
        <item x="151"/>
        <item x="172"/>
        <item x="220"/>
        <item x="105"/>
        <item x="55"/>
        <item x="108"/>
        <item x="10"/>
        <item x="78"/>
        <item x="126"/>
        <item x="175"/>
        <item x="171"/>
        <item x="182"/>
        <item x="28"/>
        <item x="85"/>
        <item x="114"/>
        <item x="48"/>
        <item x="142"/>
        <item x="72"/>
        <item x="180"/>
        <item x="62"/>
        <item x="219"/>
        <item x="140"/>
        <item x="128"/>
        <item x="18"/>
        <item x="143"/>
        <item x="187"/>
        <item x="26"/>
        <item x="153"/>
        <item x="51"/>
        <item x="37"/>
        <item x="196"/>
        <item x="212"/>
        <item x="230"/>
        <item x="14"/>
        <item x="190"/>
        <item x="183"/>
        <item x="9"/>
        <item x="22"/>
        <item x="0"/>
        <item x="103"/>
        <item x="158"/>
        <item x="107"/>
        <item x="177"/>
        <item x="16"/>
        <item x="136"/>
        <item x="77"/>
        <item x="184"/>
        <item x="227"/>
        <item x="99"/>
        <item x="47"/>
        <item x="147"/>
        <item x="188"/>
        <item x="202"/>
        <item x="5"/>
        <item x="39"/>
        <item x="64"/>
        <item x="162"/>
        <item x="189"/>
        <item x="228"/>
        <item x="217"/>
        <item x="152"/>
        <item x="32"/>
        <item x="192"/>
        <item x="201"/>
        <item x="73"/>
        <item x="19"/>
        <item x="24"/>
        <item x="61"/>
        <item x="67"/>
        <item x="92"/>
        <item x="141"/>
        <item x="95"/>
        <item x="68"/>
        <item x="216"/>
        <item x="185"/>
        <item x="40"/>
        <item x="101"/>
        <item x="3"/>
        <item x="56"/>
        <item x="129"/>
        <item x="86"/>
        <item x="224"/>
        <item x="223"/>
        <item x="169"/>
        <item x="233"/>
        <item x="149"/>
        <item x="218"/>
        <item x="81"/>
        <item x="154"/>
        <item x="65"/>
        <item x="167"/>
        <item x="163"/>
        <item x="235"/>
        <item x="206"/>
        <item x="205"/>
        <item x="116"/>
        <item x="69"/>
        <item x="71"/>
        <item x="148"/>
        <item x="165"/>
        <item x="29"/>
        <item x="156"/>
        <item x="21"/>
        <item x="83"/>
        <item x="106"/>
        <item x="133"/>
        <item x="146"/>
        <item x="211"/>
        <item x="173"/>
        <item x="57"/>
        <item x="59"/>
        <item x="23"/>
        <item x="117"/>
        <item x="194"/>
        <item x="134"/>
        <item x="111"/>
        <item x="41"/>
        <item x="200"/>
        <item x="191"/>
        <item x="119"/>
        <item x="135"/>
        <item x="79"/>
        <item x="139"/>
        <item x="145"/>
        <item x="94"/>
        <item x="197"/>
        <item x="70"/>
        <item x="215"/>
        <item x="60"/>
        <item x="209"/>
        <item x="52"/>
        <item x="155"/>
        <item x="186"/>
        <item x="7"/>
        <item x="207"/>
        <item x="204"/>
        <item x="1"/>
        <item x="157"/>
        <item x="229"/>
        <item x="20"/>
        <item x="225"/>
        <item x="226"/>
        <item x="36"/>
        <item x="50"/>
        <item x="123"/>
        <item x="131"/>
        <item x="15"/>
        <item x="118"/>
        <item x="90"/>
        <item x="82"/>
        <item x="11"/>
        <item x="236"/>
        <item t="default"/>
      </items>
      <autoSortScope>
        <pivotArea dataOnly="0" outline="0" fieldPosition="0">
          <references count="1">
            <reference field="4294967294" count="1" selected="0">
              <x v="0"/>
            </reference>
          </references>
        </pivotArea>
      </autoSortScope>
    </pivotField>
    <pivotField showAll="0" measureFilter="1" sortType="descending">
      <items count="20">
        <item x="1"/>
        <item x="16"/>
        <item x="6"/>
        <item x="12"/>
        <item x="0"/>
        <item x="3"/>
        <item x="7"/>
        <item x="9"/>
        <item x="13"/>
        <item x="8"/>
        <item x="10"/>
        <item x="4"/>
        <item x="11"/>
        <item x="15"/>
        <item x="14"/>
        <item x="17"/>
        <item x="2"/>
        <item x="5"/>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73">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1"/>
        <item t="default"/>
      </items>
    </pivotField>
    <pivotField showAll="0"/>
    <pivotField showAll="0"/>
    <pivotField showAll="0"/>
    <pivotField showAll="0"/>
    <pivotField showAll="0"/>
    <pivotField showAll="0"/>
  </pivotFields>
  <rowFields count="1">
    <field x="4"/>
  </rowFields>
  <rowItems count="2">
    <i>
      <x v="151"/>
    </i>
    <i t="grand">
      <x/>
    </i>
  </rowItems>
  <colItems count="1">
    <i/>
  </colItems>
  <dataFields count="1">
    <dataField name="Sum of finalWorth" fld="10" baseField="5" baseItem="0"/>
  </dataFields>
  <chartFormats count="17">
    <chartFormat chart="7"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4" count="1" selected="0">
            <x v="231"/>
          </reference>
        </references>
      </pivotArea>
    </chartFormat>
    <chartFormat chart="30" format="14">
      <pivotArea type="data" outline="0" fieldPosition="0">
        <references count="2">
          <reference field="4294967294" count="1" selected="0">
            <x v="0"/>
          </reference>
          <reference field="4" count="1" selected="0">
            <x v="97"/>
          </reference>
        </references>
      </pivotArea>
    </chartFormat>
    <chartFormat chart="30" format="15">
      <pivotArea type="data" outline="0" fieldPosition="0">
        <references count="2">
          <reference field="4294967294" count="1" selected="0">
            <x v="0"/>
          </reference>
          <reference field="4" count="1" selected="0">
            <x v="123"/>
          </reference>
        </references>
      </pivotArea>
    </chartFormat>
    <chartFormat chart="30" format="16">
      <pivotArea type="data" outline="0" fieldPosition="0">
        <references count="2">
          <reference field="4294967294" count="1" selected="0">
            <x v="0"/>
          </reference>
          <reference field="4" count="1" selected="0">
            <x v="138"/>
          </reference>
        </references>
      </pivotArea>
    </chartFormat>
    <chartFormat chart="30" format="17">
      <pivotArea type="data" outline="0" fieldPosition="0">
        <references count="2">
          <reference field="4294967294" count="1" selected="0">
            <x v="0"/>
          </reference>
          <reference field="4" count="1" selected="0">
            <x v="91"/>
          </reference>
        </references>
      </pivotArea>
    </chartFormat>
    <chartFormat chart="30" format="18">
      <pivotArea type="data" outline="0" fieldPosition="0">
        <references count="2">
          <reference field="4294967294" count="1" selected="0">
            <x v="0"/>
          </reference>
          <reference field="4" count="1" selected="0">
            <x v="60"/>
          </reference>
        </references>
      </pivotArea>
    </chartFormat>
    <chartFormat chart="30" format="19">
      <pivotArea type="data" outline="0" fieldPosition="0">
        <references count="2">
          <reference field="4294967294" count="1" selected="0">
            <x v="0"/>
          </reference>
          <reference field="4" count="1" selected="0">
            <x v="221"/>
          </reference>
        </references>
      </pivotArea>
    </chartFormat>
    <chartFormat chart="30" format="20">
      <pivotArea type="data" outline="0" fieldPosition="0">
        <references count="2">
          <reference field="4294967294" count="1" selected="0">
            <x v="0"/>
          </reference>
          <reference field="4" count="1" selected="0">
            <x v="182"/>
          </reference>
        </references>
      </pivotArea>
    </chartFormat>
    <chartFormat chart="30" format="21">
      <pivotArea type="data" outline="0" fieldPosition="0">
        <references count="2">
          <reference field="4294967294" count="1" selected="0">
            <x v="0"/>
          </reference>
          <reference field="4" count="1" selected="0">
            <x v="196"/>
          </reference>
        </references>
      </pivotArea>
    </chartFormat>
    <chartFormat chart="30" format="22">
      <pivotArea type="data" outline="0" fieldPosition="0">
        <references count="2">
          <reference field="4294967294" count="1" selected="0">
            <x v="0"/>
          </reference>
          <reference field="4" count="1" selected="0">
            <x v="114"/>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9">
  <location ref="A3:B5" firstHeaderRow="1" firstDataRow="1" firstDataCol="1"/>
  <pivotFields count="17">
    <pivotField showAll="0"/>
    <pivotField showAll="0"/>
    <pivotField showAll="0">
      <items count="41">
        <item h="1" x="13"/>
        <item h="1" x="10"/>
        <item x="9"/>
        <item h="1" x="26"/>
        <item h="1" x="6"/>
        <item h="1" x="17"/>
        <item h="1" x="5"/>
        <item h="1" x="34"/>
        <item h="1" x="18"/>
        <item h="1" x="33"/>
        <item h="1" x="32"/>
        <item h="1" x="0"/>
        <item h="1" x="7"/>
        <item h="1" x="3"/>
        <item h="1" x="14"/>
        <item h="1" x="23"/>
        <item h="1" x="24"/>
        <item h="1" x="11"/>
        <item h="1" x="27"/>
        <item h="1" x="2"/>
        <item h="1" x="35"/>
        <item h="1" x="29"/>
        <item h="1" x="22"/>
        <item h="1" x="31"/>
        <item h="1" x="30"/>
        <item h="1" x="36"/>
        <item h="1" x="16"/>
        <item h="1" x="21"/>
        <item h="1" x="25"/>
        <item h="1" x="28"/>
        <item h="1" x="4"/>
        <item h="1" x="19"/>
        <item h="1" x="8"/>
        <item h="1" x="20"/>
        <item h="1" x="38"/>
        <item h="1" x="37"/>
        <item h="1" x="15"/>
        <item h="1" x="12"/>
        <item h="1" x="1"/>
        <item h="1" x="39"/>
        <item t="default"/>
      </items>
    </pivotField>
    <pivotField showAll="0"/>
    <pivotField showAll="0"/>
    <pivotField axis="axisRow" showAll="0" measureFilter="1" sortType="descending">
      <items count="20">
        <item x="1"/>
        <item x="16"/>
        <item x="6"/>
        <item x="12"/>
        <item x="0"/>
        <item x="3"/>
        <item x="7"/>
        <item x="9"/>
        <item x="13"/>
        <item x="8"/>
        <item x="10"/>
        <item x="4"/>
        <item x="11"/>
        <item x="15"/>
        <item x="14"/>
        <item x="17"/>
        <item x="2"/>
        <item x="5"/>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73">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1"/>
        <item t="default"/>
      </items>
    </pivotField>
    <pivotField showAll="0"/>
    <pivotField showAll="0"/>
    <pivotField showAll="0"/>
    <pivotField showAll="0"/>
    <pivotField showAll="0"/>
    <pivotField showAll="0"/>
  </pivotFields>
  <rowFields count="1">
    <field x="5"/>
  </rowFields>
  <rowItems count="2">
    <i>
      <x v="6"/>
    </i>
    <i t="grand">
      <x/>
    </i>
  </rowItems>
  <colItems count="1">
    <i/>
  </colItems>
  <dataFields count="1">
    <dataField name="Sum of finalWorth" fld="10" baseField="5" baseItem="0"/>
  </dataFields>
  <chartFormats count="22">
    <chartFormat chart="7"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16"/>
          </reference>
        </references>
      </pivotArea>
    </chartFormat>
    <chartFormat chart="12" format="14">
      <pivotArea type="data" outline="0" fieldPosition="0">
        <references count="2">
          <reference field="4294967294" count="1" selected="0">
            <x v="0"/>
          </reference>
          <reference field="5" count="1" selected="0">
            <x v="4"/>
          </reference>
        </references>
      </pivotArea>
    </chartFormat>
    <chartFormat chart="12" format="15">
      <pivotArea type="data" outline="0" fieldPosition="0">
        <references count="2">
          <reference field="4294967294" count="1" selected="0">
            <x v="0"/>
          </reference>
          <reference field="5" count="1" selected="0">
            <x v="5"/>
          </reference>
        </references>
      </pivotArea>
    </chartFormat>
    <chartFormat chart="12" format="16">
      <pivotArea type="data" outline="0" fieldPosition="0">
        <references count="2">
          <reference field="4294967294" count="1" selected="0">
            <x v="0"/>
          </reference>
          <reference field="5" count="1" selected="0">
            <x v="6"/>
          </reference>
        </references>
      </pivotArea>
    </chartFormat>
    <chartFormat chart="12" format="17">
      <pivotArea type="data" outline="0" fieldPosition="0">
        <references count="2">
          <reference field="4294967294" count="1" selected="0">
            <x v="0"/>
          </reference>
          <reference field="5" count="1" selected="0">
            <x v="2"/>
          </reference>
        </references>
      </pivotArea>
    </chartFormat>
    <chartFormat chart="12" format="18">
      <pivotArea type="data" outline="0" fieldPosition="0">
        <references count="2">
          <reference field="4294967294" count="1" selected="0">
            <x v="0"/>
          </reference>
          <reference field="5" count="1" selected="0">
            <x v="10"/>
          </reference>
        </references>
      </pivotArea>
    </chartFormat>
    <chartFormat chart="12" format="19">
      <pivotArea type="data" outline="0" fieldPosition="0">
        <references count="2">
          <reference field="4294967294" count="1" selected="0">
            <x v="0"/>
          </reference>
          <reference field="5" count="1" selected="0">
            <x v="0"/>
          </reference>
        </references>
      </pivotArea>
    </chartFormat>
    <chartFormat chart="12" format="20">
      <pivotArea type="data" outline="0" fieldPosition="0">
        <references count="2">
          <reference field="4294967294" count="1" selected="0">
            <x v="0"/>
          </reference>
          <reference field="5" count="1" selected="0">
            <x v="12"/>
          </reference>
        </references>
      </pivotArea>
    </chartFormat>
    <chartFormat chart="12" format="21">
      <pivotArea type="data" outline="0" fieldPosition="0">
        <references count="2">
          <reference field="4294967294" count="1" selected="0">
            <x v="0"/>
          </reference>
          <reference field="5" count="1" selected="0">
            <x v="3"/>
          </reference>
        </references>
      </pivotArea>
    </chartFormat>
    <chartFormat chart="12" format="22">
      <pivotArea type="data" outline="0" fieldPosition="0">
        <references count="2">
          <reference field="4294967294" count="1" selected="0">
            <x v="0"/>
          </reference>
          <reference field="5" count="1" selected="0">
            <x v="8"/>
          </reference>
        </references>
      </pivotArea>
    </chartFormat>
    <chartFormat chart="7" format="1">
      <pivotArea type="data" outline="0" fieldPosition="0">
        <references count="2">
          <reference field="4294967294" count="1" selected="0">
            <x v="0"/>
          </reference>
          <reference field="5" count="1" selected="0">
            <x v="16"/>
          </reference>
        </references>
      </pivotArea>
    </chartFormat>
    <chartFormat chart="7" format="2">
      <pivotArea type="data" outline="0" fieldPosition="0">
        <references count="2">
          <reference field="4294967294" count="1" selected="0">
            <x v="0"/>
          </reference>
          <reference field="5" count="1" selected="0">
            <x v="4"/>
          </reference>
        </references>
      </pivotArea>
    </chartFormat>
    <chartFormat chart="7" format="3">
      <pivotArea type="data" outline="0" fieldPosition="0">
        <references count="2">
          <reference field="4294967294" count="1" selected="0">
            <x v="0"/>
          </reference>
          <reference field="5" count="1" selected="0">
            <x v="5"/>
          </reference>
        </references>
      </pivotArea>
    </chartFormat>
    <chartFormat chart="7" format="4">
      <pivotArea type="data" outline="0" fieldPosition="0">
        <references count="2">
          <reference field="4294967294" count="1" selected="0">
            <x v="0"/>
          </reference>
          <reference field="5" count="1" selected="0">
            <x v="6"/>
          </reference>
        </references>
      </pivotArea>
    </chartFormat>
    <chartFormat chart="7" format="5">
      <pivotArea type="data" outline="0" fieldPosition="0">
        <references count="2">
          <reference field="4294967294" count="1" selected="0">
            <x v="0"/>
          </reference>
          <reference field="5" count="1" selected="0">
            <x v="2"/>
          </reference>
        </references>
      </pivotArea>
    </chartFormat>
    <chartFormat chart="7" format="6">
      <pivotArea type="data" outline="0" fieldPosition="0">
        <references count="2">
          <reference field="4294967294" count="1" selected="0">
            <x v="0"/>
          </reference>
          <reference field="5" count="1" selected="0">
            <x v="1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2"/>
          </reference>
        </references>
      </pivotArea>
    </chartFormat>
    <chartFormat chart="7" format="9">
      <pivotArea type="data" outline="0" fieldPosition="0">
        <references count="2">
          <reference field="4294967294" count="1" selected="0">
            <x v="0"/>
          </reference>
          <reference field="5" count="1" selected="0">
            <x v="3"/>
          </reference>
        </references>
      </pivotArea>
    </chartFormat>
    <chartFormat chart="7" format="10">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63E0C-D169-4D68-8379-715F9B89E51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21" firstHeaderRow="1" firstDataRow="1" firstDataCol="1"/>
  <pivotFields count="7">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numFmtId="168" showAll="0"/>
    <pivotField showAll="0">
      <items count="63">
        <item x="25"/>
        <item x="60"/>
        <item x="61"/>
        <item x="39"/>
        <item x="57"/>
        <item x="14"/>
        <item x="21"/>
        <item x="58"/>
        <item x="49"/>
        <item x="55"/>
        <item x="28"/>
        <item x="52"/>
        <item x="43"/>
        <item x="45"/>
        <item x="12"/>
        <item x="10"/>
        <item x="1"/>
        <item x="38"/>
        <item x="34"/>
        <item x="24"/>
        <item x="42"/>
        <item x="33"/>
        <item x="41"/>
        <item x="18"/>
        <item x="2"/>
        <item x="19"/>
        <item x="15"/>
        <item x="35"/>
        <item x="46"/>
        <item x="29"/>
        <item x="17"/>
        <item x="8"/>
        <item x="5"/>
        <item x="13"/>
        <item x="9"/>
        <item x="37"/>
        <item x="50"/>
        <item x="26"/>
        <item x="16"/>
        <item x="0"/>
        <item x="32"/>
        <item x="31"/>
        <item x="23"/>
        <item x="3"/>
        <item x="53"/>
        <item x="36"/>
        <item x="6"/>
        <item x="27"/>
        <item x="7"/>
        <item x="30"/>
        <item x="20"/>
        <item x="22"/>
        <item x="11"/>
        <item x="47"/>
        <item x="56"/>
        <item x="40"/>
        <item x="54"/>
        <item x="4"/>
        <item x="48"/>
        <item x="51"/>
        <item x="44"/>
        <item x="59"/>
        <item t="default"/>
      </items>
    </pivotField>
    <pivotField axis="axisRow" showAll="0">
      <items count="4">
        <item x="0"/>
        <item x="1"/>
        <item x="2"/>
        <item t="default"/>
      </items>
    </pivotField>
  </pivotFields>
  <rowFields count="1">
    <field x="6"/>
  </rowFields>
  <rowItems count="4">
    <i>
      <x/>
    </i>
    <i>
      <x v="1"/>
    </i>
    <i>
      <x v="2"/>
    </i>
    <i t="grand">
      <x/>
    </i>
  </rowItems>
  <colItems count="1">
    <i/>
  </colItems>
  <dataFields count="1">
    <dataField name="Count of personName" fld="0" subtotal="count" baseField="0" baseItem="0"/>
  </dataFields>
  <chartFormats count="12">
    <chartFormat chart="0"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1"/>
          </reference>
        </references>
      </pivotArea>
    </chartFormat>
    <chartFormat chart="0"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3:B14" firstHeaderRow="1" firstDataRow="1" firstDataCol="1"/>
  <pivotFields count="2">
    <pivotField axis="axisRow" showAll="0" measureFilter="1" sortType="descending">
      <items count="11">
        <item x="0"/>
        <item x="5"/>
        <item x="7"/>
        <item x="1"/>
        <item x="2"/>
        <item x="3"/>
        <item x="6"/>
        <item x="8"/>
        <item x="9"/>
        <item x="4"/>
        <item t="default"/>
      </items>
      <autoSortScope>
        <pivotArea dataOnly="0" outline="0" fieldPosition="0">
          <references count="1">
            <reference field="4294967294" count="1" selected="0">
              <x v="0"/>
            </reference>
          </references>
        </pivotArea>
      </autoSortScope>
    </pivotField>
    <pivotField dataField="1" numFmtId="165" showAll="0">
      <items count="11">
        <item x="9"/>
        <item x="8"/>
        <item x="7"/>
        <item x="6"/>
        <item x="5"/>
        <item x="4"/>
        <item x="3"/>
        <item x="2"/>
        <item x="1"/>
        <item x="0"/>
        <item t="default"/>
      </items>
    </pivotField>
  </pivotFields>
  <rowFields count="1">
    <field x="0"/>
  </rowFields>
  <rowItems count="11">
    <i>
      <x/>
    </i>
    <i>
      <x v="3"/>
    </i>
    <i>
      <x v="4"/>
    </i>
    <i>
      <x v="5"/>
    </i>
    <i>
      <x v="9"/>
    </i>
    <i>
      <x v="1"/>
    </i>
    <i>
      <x v="6"/>
    </i>
    <i>
      <x v="2"/>
    </i>
    <i>
      <x v="7"/>
    </i>
    <i>
      <x v="8"/>
    </i>
    <i t="grand">
      <x/>
    </i>
  </rowItems>
  <colItems count="1">
    <i/>
  </colItems>
  <dataFields count="1">
    <dataField name="Sum of FINAL WORTH"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_NAME" xr10:uid="{00000000-0013-0000-FFFF-FFFF01000000}" sourceName="PERSON NAME">
  <pivotTables>
    <pivotTable tabId="4" name="PivotTable1"/>
  </pivotTables>
  <data>
    <tabular pivotCacheId="1">
      <items count="10">
        <i x="0" s="1"/>
        <i x="5" s="1"/>
        <i x="7" s="1"/>
        <i x="1" s="1"/>
        <i x="2" s="1"/>
        <i x="3" s="1"/>
        <i x="6" s="1"/>
        <i x="8"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WORTH" xr10:uid="{00000000-0013-0000-FFFF-FFFF02000000}" sourceName="FINAL WORTH">
  <pivotTables>
    <pivotTable tabId="4" name="PivotTable1"/>
  </pivotTables>
  <data>
    <tabular pivotCacheId="1" sortOrder="descending">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3000000}" sourceName="country">
  <pivotTables>
    <pivotTable tabId="5" name="PivotTable3"/>
    <pivotTable tabId="5" name="PivotTable1"/>
  </pivotTables>
  <data>
    <tabular pivotCacheId="2">
      <items count="40">
        <i x="13"/>
        <i x="10"/>
        <i x="9" s="1"/>
        <i x="26"/>
        <i x="6"/>
        <i x="17"/>
        <i x="5"/>
        <i x="34"/>
        <i x="18"/>
        <i x="33"/>
        <i x="32"/>
        <i x="0"/>
        <i x="7"/>
        <i x="3"/>
        <i x="14"/>
        <i x="23"/>
        <i x="24"/>
        <i x="11"/>
        <i x="27"/>
        <i x="2"/>
        <i x="35"/>
        <i x="29"/>
        <i x="22"/>
        <i x="31"/>
        <i x="30"/>
        <i x="36"/>
        <i x="16"/>
        <i x="21"/>
        <i x="25"/>
        <i x="28"/>
        <i x="4"/>
        <i x="19"/>
        <i x="8"/>
        <i x="20"/>
        <i x="38"/>
        <i x="37"/>
        <i x="15"/>
        <i x="12"/>
        <i x="1"/>
        <i x="3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00000000-0013-0000-FFFF-FFFF04000000}" sourceName="industries">
  <pivotTables>
    <pivotTable tabId="5" name="PivotTable3"/>
    <pivotTable tabId="5" name="PivotTable1"/>
  </pivotTables>
  <data>
    <tabular pivotCacheId="2">
      <items count="19">
        <i x="7" s="1"/>
        <i x="1" s="1" nd="1"/>
        <i x="16" s="1" nd="1"/>
        <i x="6" s="1" nd="1"/>
        <i x="12" s="1" nd="1"/>
        <i x="0" s="1" nd="1"/>
        <i x="3" s="1" nd="1"/>
        <i x="9" s="1" nd="1"/>
        <i x="13" s="1" nd="1"/>
        <i x="8" s="1" nd="1"/>
        <i x="10" s="1" nd="1"/>
        <i x="4" s="1" nd="1"/>
        <i x="11" s="1" nd="1"/>
        <i x="15" s="1" nd="1"/>
        <i x="14" s="1" nd="1"/>
        <i x="17" s="1" nd="1"/>
        <i x="2" s="1" nd="1"/>
        <i x="5" s="1" nd="1"/>
        <i x="1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1" xr10:uid="{00000000-0013-0000-FFFF-FFFF05000000}" sourceName="industries">
  <data>
    <tabular pivotCacheId="2">
      <items count="19">
        <i x="1" s="1"/>
        <i x="16" s="1"/>
        <i x="6" s="1"/>
        <i x="12" s="1"/>
        <i x="0" s="1"/>
        <i x="3" s="1"/>
        <i x="7" s="1"/>
        <i x="9" s="1"/>
        <i x="13" s="1"/>
        <i x="8" s="1"/>
        <i x="10" s="1"/>
        <i x="4" s="1"/>
        <i x="11" s="1"/>
        <i x="15" s="1"/>
        <i x="14" s="1"/>
        <i x="17" s="1"/>
        <i x="2" s="1"/>
        <i x="5" s="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3000000}" cache="Slicer_country" caption="country" rowHeight="257175"/>
  <slicer name="industries" xr10:uid="{00000000-0014-0000-FFFF-FFFF04000000}" cache="Slicer_industries" caption="industrie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WORTH 1" xr10:uid="{00000000-0014-0000-FFFF-FFFF01000000}" cache="Slicer_FINAL_WORTH" caption="FINAL WORTH" rowHeight="257175"/>
  <slicer name="country 1" xr10:uid="{02059D8C-0B4F-4BA3-9AF3-3D7F1B8AF99B}" cache="Slicer_country" caption="country" rowHeight="257175"/>
  <slicer name="industries 2" xr10:uid="{00000000-0014-0000-FFFF-FFFF02000000}" cache="Slicer_industries1" caption="industries"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NAME" xr10:uid="{00000000-0014-0000-FFFF-FFFF06000000}" cache="Slicer_PERSON_NAME" caption="PERSON NAME" rowHeight="257175"/>
  <slicer name="FINAL WORTH" xr10:uid="{00000000-0014-0000-FFFF-FFFF07000000}" cache="Slicer_FINAL_WORTH" caption="FINAL WORTH" rowHeight="25717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76"/>
  <sheetViews>
    <sheetView zoomScale="115" zoomScaleNormal="115" workbookViewId="0"/>
  </sheetViews>
  <sheetFormatPr defaultColWidth="10.59765625" defaultRowHeight="15.6" x14ac:dyDescent="0.3"/>
  <cols>
    <col min="1" max="1" width="4.59765625" customWidth="1"/>
    <col min="2" max="3" width="24.69921875" customWidth="1"/>
    <col min="7" max="7" width="11" customWidth="1"/>
    <col min="11" max="11" width="12.59765625" style="8" customWidth="1"/>
    <col min="12" max="12" width="11.09765625" style="11" bestFit="1" customWidth="1"/>
    <col min="13" max="13" width="19.3984375" bestFit="1" customWidth="1"/>
    <col min="14" max="14" width="22.19921875" bestFit="1" customWidth="1"/>
    <col min="15" max="16" width="11" style="14" customWidth="1"/>
    <col min="17" max="17" width="12" customWidth="1"/>
  </cols>
  <sheetData>
    <row r="1" spans="1:18" s="2" customFormat="1" x14ac:dyDescent="0.3">
      <c r="A1" s="3" t="s">
        <v>0</v>
      </c>
      <c r="B1" s="3" t="s">
        <v>2</v>
      </c>
      <c r="C1" s="3" t="s">
        <v>3</v>
      </c>
      <c r="D1" s="3" t="s">
        <v>4</v>
      </c>
      <c r="E1" s="3" t="s">
        <v>5</v>
      </c>
      <c r="F1" s="3" t="s">
        <v>6</v>
      </c>
      <c r="G1" s="3" t="s">
        <v>7</v>
      </c>
      <c r="H1" s="3" t="s">
        <v>8</v>
      </c>
      <c r="I1" s="3" t="s">
        <v>10</v>
      </c>
      <c r="J1" s="3" t="s">
        <v>9</v>
      </c>
      <c r="K1" s="6" t="s">
        <v>1</v>
      </c>
      <c r="L1" s="9" t="s">
        <v>14</v>
      </c>
      <c r="M1" s="3" t="s">
        <v>15</v>
      </c>
      <c r="N1" s="3" t="s">
        <v>16</v>
      </c>
      <c r="O1" s="12" t="s">
        <v>17</v>
      </c>
      <c r="P1" s="12" t="s">
        <v>18</v>
      </c>
      <c r="Q1" s="3" t="s">
        <v>19</v>
      </c>
    </row>
    <row r="2" spans="1:18" x14ac:dyDescent="0.3">
      <c r="A2" s="4">
        <v>1</v>
      </c>
      <c r="B2" s="4" t="s">
        <v>21</v>
      </c>
      <c r="C2" s="4" t="s">
        <v>22</v>
      </c>
      <c r="D2" s="4" t="s">
        <v>23</v>
      </c>
      <c r="E2" s="4" t="s">
        <v>24</v>
      </c>
      <c r="F2" s="4" t="s">
        <v>20</v>
      </c>
      <c r="G2" s="4" t="b">
        <v>0</v>
      </c>
      <c r="H2" s="4" t="s">
        <v>25</v>
      </c>
      <c r="I2" s="4" t="s">
        <v>27</v>
      </c>
      <c r="J2" s="4" t="s">
        <v>26</v>
      </c>
      <c r="K2" s="7">
        <v>211000</v>
      </c>
      <c r="L2" s="10">
        <v>110.05</v>
      </c>
      <c r="M2" s="5" t="s">
        <v>28</v>
      </c>
      <c r="N2" s="4">
        <v>82.5</v>
      </c>
      <c r="O2" s="13">
        <v>24.2</v>
      </c>
      <c r="P2" s="13">
        <v>60.7</v>
      </c>
      <c r="Q2" s="4">
        <v>67059887</v>
      </c>
    </row>
    <row r="3" spans="1:18" x14ac:dyDescent="0.3">
      <c r="A3" s="4">
        <v>2</v>
      </c>
      <c r="B3" s="4" t="s">
        <v>30</v>
      </c>
      <c r="C3" s="4" t="s">
        <v>31</v>
      </c>
      <c r="D3" s="4" t="s">
        <v>32</v>
      </c>
      <c r="E3" s="4" t="s">
        <v>33</v>
      </c>
      <c r="F3" s="4" t="s">
        <v>29</v>
      </c>
      <c r="G3" s="4" t="b">
        <v>1</v>
      </c>
      <c r="H3" s="4" t="s">
        <v>25</v>
      </c>
      <c r="I3" s="4" t="s">
        <v>35</v>
      </c>
      <c r="J3" s="4" t="s">
        <v>34</v>
      </c>
      <c r="K3" s="7">
        <v>180000</v>
      </c>
      <c r="L3" s="10">
        <v>117.24</v>
      </c>
      <c r="M3" s="5" t="s">
        <v>36</v>
      </c>
      <c r="N3" s="4">
        <v>78.5</v>
      </c>
      <c r="O3" s="13">
        <v>9.6</v>
      </c>
      <c r="P3" s="13">
        <v>36.6</v>
      </c>
      <c r="Q3" s="4">
        <v>328239523</v>
      </c>
    </row>
    <row r="4" spans="1:18" x14ac:dyDescent="0.3">
      <c r="A4" s="4">
        <v>3</v>
      </c>
      <c r="B4" s="4" t="s">
        <v>38</v>
      </c>
      <c r="C4" s="4" t="s">
        <v>31</v>
      </c>
      <c r="D4" s="4" t="s">
        <v>39</v>
      </c>
      <c r="E4" s="4" t="s">
        <v>40</v>
      </c>
      <c r="F4" s="4" t="s">
        <v>37</v>
      </c>
      <c r="G4" s="4" t="b">
        <v>1</v>
      </c>
      <c r="H4" s="4" t="s">
        <v>25</v>
      </c>
      <c r="I4" s="4" t="s">
        <v>42</v>
      </c>
      <c r="J4" s="4" t="s">
        <v>41</v>
      </c>
      <c r="K4" s="7">
        <v>114000</v>
      </c>
      <c r="L4" s="10">
        <v>117.24</v>
      </c>
      <c r="M4" s="5" t="s">
        <v>36</v>
      </c>
      <c r="N4" s="4">
        <v>78.5</v>
      </c>
      <c r="O4" s="13">
        <v>9.6</v>
      </c>
      <c r="P4" s="13">
        <v>36.6</v>
      </c>
      <c r="Q4" s="4">
        <v>328239523</v>
      </c>
      <c r="R4" s="1"/>
    </row>
    <row r="5" spans="1:18" x14ac:dyDescent="0.3">
      <c r="A5" s="4">
        <v>4</v>
      </c>
      <c r="B5" s="4" t="s">
        <v>43</v>
      </c>
      <c r="C5" s="4" t="s">
        <v>31</v>
      </c>
      <c r="D5" s="4" t="s">
        <v>44</v>
      </c>
      <c r="E5" s="4" t="s">
        <v>45</v>
      </c>
      <c r="F5" s="4" t="s">
        <v>37</v>
      </c>
      <c r="G5" s="4" t="b">
        <v>1</v>
      </c>
      <c r="H5" s="4" t="s">
        <v>25</v>
      </c>
      <c r="I5" s="4" t="s">
        <v>47</v>
      </c>
      <c r="J5" s="4" t="s">
        <v>46</v>
      </c>
      <c r="K5" s="7">
        <v>107000</v>
      </c>
      <c r="L5" s="10">
        <v>117.24</v>
      </c>
      <c r="M5" s="5" t="s">
        <v>36</v>
      </c>
      <c r="N5" s="4">
        <v>78.5</v>
      </c>
      <c r="O5" s="13">
        <v>9.6</v>
      </c>
      <c r="P5" s="13">
        <v>36.6</v>
      </c>
      <c r="Q5" s="4">
        <v>328239523</v>
      </c>
    </row>
    <row r="6" spans="1:18" x14ac:dyDescent="0.3">
      <c r="A6" s="4">
        <v>5</v>
      </c>
      <c r="B6" s="4" t="s">
        <v>49</v>
      </c>
      <c r="C6" s="4" t="s">
        <v>31</v>
      </c>
      <c r="D6" s="4" t="s">
        <v>50</v>
      </c>
      <c r="E6" s="4" t="s">
        <v>51</v>
      </c>
      <c r="F6" s="4" t="s">
        <v>48</v>
      </c>
      <c r="G6" s="4" t="b">
        <v>1</v>
      </c>
      <c r="H6" s="4" t="s">
        <v>25</v>
      </c>
      <c r="I6" s="4" t="s">
        <v>53</v>
      </c>
      <c r="J6" s="4" t="s">
        <v>52</v>
      </c>
      <c r="K6" s="7">
        <v>106000</v>
      </c>
      <c r="L6" s="10">
        <v>117.24</v>
      </c>
      <c r="M6" s="5" t="s">
        <v>36</v>
      </c>
      <c r="N6" s="4">
        <v>78.5</v>
      </c>
      <c r="O6" s="13">
        <v>9.6</v>
      </c>
      <c r="P6" s="13">
        <v>36.6</v>
      </c>
      <c r="Q6" s="4">
        <v>328239523</v>
      </c>
    </row>
    <row r="7" spans="1:18" x14ac:dyDescent="0.3">
      <c r="A7" s="4">
        <v>6</v>
      </c>
      <c r="B7" s="4" t="s">
        <v>54</v>
      </c>
      <c r="C7" s="4" t="s">
        <v>31</v>
      </c>
      <c r="D7" s="4" t="s">
        <v>39</v>
      </c>
      <c r="E7" s="4" t="s">
        <v>55</v>
      </c>
      <c r="F7" s="4" t="s">
        <v>37</v>
      </c>
      <c r="G7" s="4" t="b">
        <v>1</v>
      </c>
      <c r="H7" s="4" t="s">
        <v>25</v>
      </c>
      <c r="I7" s="4" t="s">
        <v>57</v>
      </c>
      <c r="J7" s="4" t="s">
        <v>56</v>
      </c>
      <c r="K7" s="7">
        <v>104000</v>
      </c>
      <c r="L7" s="10">
        <v>117.24</v>
      </c>
      <c r="M7" s="5" t="s">
        <v>36</v>
      </c>
      <c r="N7" s="4">
        <v>78.5</v>
      </c>
      <c r="O7" s="13">
        <v>9.6</v>
      </c>
      <c r="P7" s="13">
        <v>36.6</v>
      </c>
      <c r="Q7" s="4">
        <v>328239523</v>
      </c>
    </row>
    <row r="8" spans="1:18" x14ac:dyDescent="0.3">
      <c r="A8" s="4">
        <v>7</v>
      </c>
      <c r="B8" s="4" t="s">
        <v>59</v>
      </c>
      <c r="C8" s="4" t="s">
        <v>31</v>
      </c>
      <c r="D8" s="4" t="s">
        <v>60</v>
      </c>
      <c r="E8" s="4" t="s">
        <v>61</v>
      </c>
      <c r="F8" s="4" t="s">
        <v>58</v>
      </c>
      <c r="G8" s="4" t="b">
        <v>1</v>
      </c>
      <c r="H8" s="4" t="s">
        <v>25</v>
      </c>
      <c r="I8" s="4" t="s">
        <v>63</v>
      </c>
      <c r="J8" s="4" t="s">
        <v>62</v>
      </c>
      <c r="K8" s="7">
        <v>94500</v>
      </c>
      <c r="L8" s="10">
        <v>117.24</v>
      </c>
      <c r="M8" s="5" t="s">
        <v>36</v>
      </c>
      <c r="N8" s="4">
        <v>78.5</v>
      </c>
      <c r="O8" s="13">
        <v>9.6</v>
      </c>
      <c r="P8" s="13">
        <v>36.6</v>
      </c>
      <c r="Q8" s="4">
        <v>328239523</v>
      </c>
    </row>
    <row r="9" spans="1:18" x14ac:dyDescent="0.3">
      <c r="A9" s="4">
        <v>8</v>
      </c>
      <c r="B9" s="4" t="s">
        <v>65</v>
      </c>
      <c r="C9" s="4" t="s">
        <v>66</v>
      </c>
      <c r="D9" s="4" t="s">
        <v>67</v>
      </c>
      <c r="E9" s="4" t="s">
        <v>64</v>
      </c>
      <c r="F9" s="4" t="s">
        <v>64</v>
      </c>
      <c r="G9" s="4" t="b">
        <v>1</v>
      </c>
      <c r="H9" s="4" t="s">
        <v>25</v>
      </c>
      <c r="I9" s="4" t="s">
        <v>69</v>
      </c>
      <c r="J9" s="4" t="s">
        <v>68</v>
      </c>
      <c r="K9" s="7">
        <v>93000</v>
      </c>
      <c r="L9" s="10">
        <v>141.54</v>
      </c>
      <c r="M9" s="5" t="s">
        <v>70</v>
      </c>
      <c r="N9" s="4">
        <v>75</v>
      </c>
      <c r="O9" s="13">
        <v>13.1</v>
      </c>
      <c r="P9" s="13">
        <v>55.1</v>
      </c>
      <c r="Q9" s="4">
        <v>126014024</v>
      </c>
    </row>
    <row r="10" spans="1:18" x14ac:dyDescent="0.3">
      <c r="A10" s="4">
        <v>9</v>
      </c>
      <c r="B10" s="4" t="s">
        <v>72</v>
      </c>
      <c r="C10" s="4" t="s">
        <v>73</v>
      </c>
      <c r="D10" s="4" t="s">
        <v>74</v>
      </c>
      <c r="E10" s="4" t="s">
        <v>71</v>
      </c>
      <c r="F10" s="4" t="s">
        <v>71</v>
      </c>
      <c r="G10" s="4" t="b">
        <v>0</v>
      </c>
      <c r="H10" s="4" t="s">
        <v>25</v>
      </c>
      <c r="I10" s="4" t="s">
        <v>76</v>
      </c>
      <c r="J10" s="4" t="s">
        <v>75</v>
      </c>
      <c r="K10" s="7">
        <v>83400</v>
      </c>
      <c r="L10" s="10">
        <v>180.44</v>
      </c>
      <c r="M10" s="5" t="s">
        <v>77</v>
      </c>
      <c r="N10" s="4">
        <v>69.400000000000006</v>
      </c>
      <c r="O10" s="13">
        <v>11.2</v>
      </c>
      <c r="P10" s="13">
        <v>49.7</v>
      </c>
      <c r="Q10" s="4">
        <v>1366417754</v>
      </c>
    </row>
    <row r="11" spans="1:18" x14ac:dyDescent="0.3">
      <c r="A11" s="4">
        <v>10</v>
      </c>
      <c r="B11" s="4" t="s">
        <v>78</v>
      </c>
      <c r="C11" s="4" t="s">
        <v>31</v>
      </c>
      <c r="D11" s="4" t="s">
        <v>79</v>
      </c>
      <c r="E11" s="4" t="s">
        <v>55</v>
      </c>
      <c r="F11" s="4" t="s">
        <v>37</v>
      </c>
      <c r="G11" s="4" t="b">
        <v>1</v>
      </c>
      <c r="H11" s="4" t="s">
        <v>25</v>
      </c>
      <c r="I11" s="4" t="s">
        <v>81</v>
      </c>
      <c r="J11" s="4" t="s">
        <v>80</v>
      </c>
      <c r="K11" s="7">
        <v>80700</v>
      </c>
      <c r="L11" s="10">
        <v>117.24</v>
      </c>
      <c r="M11" s="5" t="s">
        <v>36</v>
      </c>
      <c r="N11" s="4">
        <v>78.5</v>
      </c>
      <c r="O11" s="13">
        <v>9.6</v>
      </c>
      <c r="P11" s="13">
        <v>36.6</v>
      </c>
      <c r="Q11" s="4">
        <v>328239523</v>
      </c>
    </row>
    <row r="12" spans="1:18" x14ac:dyDescent="0.3">
      <c r="A12" s="4">
        <v>11</v>
      </c>
      <c r="B12" s="4" t="s">
        <v>82</v>
      </c>
      <c r="C12" s="4" t="s">
        <v>22</v>
      </c>
      <c r="D12" s="4" t="s">
        <v>23</v>
      </c>
      <c r="E12" s="4" t="s">
        <v>83</v>
      </c>
      <c r="F12" s="4" t="s">
        <v>20</v>
      </c>
      <c r="G12" s="4" t="b">
        <v>0</v>
      </c>
      <c r="H12" s="4" t="s">
        <v>84</v>
      </c>
      <c r="I12" s="4" t="s">
        <v>86</v>
      </c>
      <c r="J12" s="4" t="s">
        <v>85</v>
      </c>
      <c r="K12" s="7">
        <v>80500</v>
      </c>
      <c r="L12" s="10">
        <v>110.05</v>
      </c>
      <c r="M12" s="5" t="s">
        <v>28</v>
      </c>
      <c r="N12" s="4">
        <v>82.5</v>
      </c>
      <c r="O12" s="13">
        <v>24.2</v>
      </c>
      <c r="P12" s="13">
        <v>60.7</v>
      </c>
      <c r="Q12" s="4">
        <v>67059887</v>
      </c>
    </row>
    <row r="13" spans="1:18" x14ac:dyDescent="0.3">
      <c r="A13" s="4">
        <v>12</v>
      </c>
      <c r="B13" s="4" t="s">
        <v>87</v>
      </c>
      <c r="C13" s="4" t="s">
        <v>31</v>
      </c>
      <c r="D13" s="4" t="s">
        <v>88</v>
      </c>
      <c r="E13" s="4" t="s">
        <v>89</v>
      </c>
      <c r="F13" s="4" t="s">
        <v>37</v>
      </c>
      <c r="G13" s="4" t="b">
        <v>1</v>
      </c>
      <c r="H13" s="4" t="s">
        <v>25</v>
      </c>
      <c r="I13" s="4" t="s">
        <v>47</v>
      </c>
      <c r="J13" s="4" t="s">
        <v>90</v>
      </c>
      <c r="K13" s="7">
        <v>79200</v>
      </c>
      <c r="L13" s="10">
        <v>117.24</v>
      </c>
      <c r="M13" s="5" t="s">
        <v>36</v>
      </c>
      <c r="N13" s="4">
        <v>78.5</v>
      </c>
      <c r="O13" s="13">
        <v>9.6</v>
      </c>
      <c r="P13" s="13">
        <v>36.6</v>
      </c>
      <c r="Q13" s="4">
        <v>328239523</v>
      </c>
    </row>
    <row r="14" spans="1:18" x14ac:dyDescent="0.3">
      <c r="A14" s="4">
        <v>13</v>
      </c>
      <c r="B14" s="4" t="s">
        <v>91</v>
      </c>
      <c r="C14" s="4" t="s">
        <v>92</v>
      </c>
      <c r="D14" s="4" t="s">
        <v>93</v>
      </c>
      <c r="E14" s="4" t="s">
        <v>94</v>
      </c>
      <c r="F14" s="4" t="s">
        <v>20</v>
      </c>
      <c r="G14" s="4" t="b">
        <v>1</v>
      </c>
      <c r="H14" s="4" t="s">
        <v>25</v>
      </c>
      <c r="I14" s="4" t="s">
        <v>96</v>
      </c>
      <c r="J14" s="4" t="s">
        <v>95</v>
      </c>
      <c r="K14" s="7">
        <v>77300</v>
      </c>
      <c r="L14" s="10">
        <v>110.96</v>
      </c>
      <c r="M14" s="5" t="s">
        <v>97</v>
      </c>
      <c r="N14" s="4">
        <v>83.3</v>
      </c>
      <c r="O14" s="13">
        <v>14.2</v>
      </c>
      <c r="P14" s="13">
        <v>47</v>
      </c>
      <c r="Q14" s="4">
        <v>47076781</v>
      </c>
    </row>
    <row r="15" spans="1:18" x14ac:dyDescent="0.3">
      <c r="A15" s="4">
        <v>14</v>
      </c>
      <c r="B15" s="4" t="s">
        <v>98</v>
      </c>
      <c r="C15" s="4" t="s">
        <v>31</v>
      </c>
      <c r="D15" s="4" t="s">
        <v>99</v>
      </c>
      <c r="E15" s="4" t="s">
        <v>89</v>
      </c>
      <c r="F15" s="4" t="s">
        <v>37</v>
      </c>
      <c r="G15" s="4" t="b">
        <v>1</v>
      </c>
      <c r="H15" s="4" t="s">
        <v>25</v>
      </c>
      <c r="I15" s="4" t="s">
        <v>101</v>
      </c>
      <c r="J15" s="4" t="s">
        <v>100</v>
      </c>
      <c r="K15" s="7">
        <v>76000</v>
      </c>
      <c r="L15" s="10">
        <v>117.24</v>
      </c>
      <c r="M15" s="5" t="s">
        <v>36</v>
      </c>
      <c r="N15" s="4">
        <v>78.5</v>
      </c>
      <c r="O15" s="13">
        <v>9.6</v>
      </c>
      <c r="P15" s="13">
        <v>36.6</v>
      </c>
      <c r="Q15" s="4">
        <v>328239523</v>
      </c>
    </row>
    <row r="16" spans="1:18" x14ac:dyDescent="0.3">
      <c r="A16" s="4">
        <v>15</v>
      </c>
      <c r="B16" s="4" t="s">
        <v>103</v>
      </c>
      <c r="C16" s="4" t="s">
        <v>104</v>
      </c>
      <c r="D16" s="4" t="s">
        <v>105</v>
      </c>
      <c r="E16" s="4" t="s">
        <v>106</v>
      </c>
      <c r="F16" s="4" t="s">
        <v>102</v>
      </c>
      <c r="G16" s="4" t="b">
        <v>1</v>
      </c>
      <c r="H16" s="4" t="s">
        <v>25</v>
      </c>
      <c r="I16" s="4" t="s">
        <v>108</v>
      </c>
      <c r="J16" s="4" t="s">
        <v>107</v>
      </c>
      <c r="K16" s="7">
        <v>68000</v>
      </c>
      <c r="L16" s="10">
        <v>125.08</v>
      </c>
      <c r="M16" s="5" t="s">
        <v>109</v>
      </c>
      <c r="N16" s="4">
        <v>77</v>
      </c>
      <c r="O16" s="13">
        <v>9.4</v>
      </c>
      <c r="P16" s="13">
        <v>59.2</v>
      </c>
      <c r="Q16" s="4">
        <v>1397715000</v>
      </c>
    </row>
    <row r="17" spans="1:17" x14ac:dyDescent="0.3">
      <c r="A17" s="4">
        <v>16</v>
      </c>
      <c r="B17" s="4" t="s">
        <v>110</v>
      </c>
      <c r="C17" s="4" t="s">
        <v>31</v>
      </c>
      <c r="D17" s="4" t="s">
        <v>88</v>
      </c>
      <c r="E17" s="4" t="s">
        <v>111</v>
      </c>
      <c r="F17" s="4" t="s">
        <v>37</v>
      </c>
      <c r="G17" s="4" t="b">
        <v>1</v>
      </c>
      <c r="H17" s="4" t="s">
        <v>25</v>
      </c>
      <c r="I17" s="4" t="s">
        <v>113</v>
      </c>
      <c r="J17" s="4" t="s">
        <v>112</v>
      </c>
      <c r="K17" s="7">
        <v>64400</v>
      </c>
      <c r="L17" s="10">
        <v>117.24</v>
      </c>
      <c r="M17" s="5" t="s">
        <v>36</v>
      </c>
      <c r="N17" s="4">
        <v>78.5</v>
      </c>
      <c r="O17" s="13">
        <v>9.6</v>
      </c>
      <c r="P17" s="13">
        <v>36.6</v>
      </c>
      <c r="Q17" s="4">
        <v>328239523</v>
      </c>
    </row>
    <row r="18" spans="1:17" x14ac:dyDescent="0.3">
      <c r="A18" s="4">
        <v>17</v>
      </c>
      <c r="B18" s="4" t="s">
        <v>114</v>
      </c>
      <c r="C18" s="4" t="s">
        <v>31</v>
      </c>
      <c r="D18" s="4" t="s">
        <v>115</v>
      </c>
      <c r="E18" s="4" t="s">
        <v>116</v>
      </c>
      <c r="F18" s="4" t="s">
        <v>71</v>
      </c>
      <c r="G18" s="4" t="b">
        <v>0</v>
      </c>
      <c r="H18" s="4" t="s">
        <v>25</v>
      </c>
      <c r="I18" s="4" t="s">
        <v>118</v>
      </c>
      <c r="J18" s="4" t="s">
        <v>117</v>
      </c>
      <c r="K18" s="7">
        <v>59000</v>
      </c>
      <c r="L18" s="10">
        <v>117.24</v>
      </c>
      <c r="M18" s="5" t="s">
        <v>36</v>
      </c>
      <c r="N18" s="4">
        <v>78.5</v>
      </c>
      <c r="O18" s="13">
        <v>9.6</v>
      </c>
      <c r="P18" s="13">
        <v>36.6</v>
      </c>
      <c r="Q18" s="4">
        <v>328239523</v>
      </c>
    </row>
    <row r="19" spans="1:17" x14ac:dyDescent="0.3">
      <c r="A19" s="4">
        <v>17</v>
      </c>
      <c r="B19" s="4" t="s">
        <v>119</v>
      </c>
      <c r="C19" s="4" t="s">
        <v>31</v>
      </c>
      <c r="D19" s="4" t="s">
        <v>60</v>
      </c>
      <c r="E19" s="4" t="s">
        <v>116</v>
      </c>
      <c r="F19" s="4" t="s">
        <v>71</v>
      </c>
      <c r="G19" s="4" t="b">
        <v>0</v>
      </c>
      <c r="H19" s="4" t="s">
        <v>84</v>
      </c>
      <c r="I19" s="4" t="s">
        <v>120</v>
      </c>
      <c r="J19" s="4" t="s">
        <v>117</v>
      </c>
      <c r="K19" s="7">
        <v>59000</v>
      </c>
      <c r="L19" s="10">
        <v>117.24</v>
      </c>
      <c r="M19" s="5" t="s">
        <v>36</v>
      </c>
      <c r="N19" s="4">
        <v>78.5</v>
      </c>
      <c r="O19" s="13">
        <v>9.6</v>
      </c>
      <c r="P19" s="13">
        <v>36.6</v>
      </c>
      <c r="Q19" s="4">
        <v>328239523</v>
      </c>
    </row>
    <row r="20" spans="1:17" x14ac:dyDescent="0.3">
      <c r="A20" s="4">
        <v>19</v>
      </c>
      <c r="B20" s="4" t="s">
        <v>121</v>
      </c>
      <c r="C20" s="4" t="s">
        <v>31</v>
      </c>
      <c r="D20" s="4" t="s">
        <v>122</v>
      </c>
      <c r="E20" s="4" t="s">
        <v>123</v>
      </c>
      <c r="F20" s="4" t="s">
        <v>20</v>
      </c>
      <c r="G20" s="4" t="b">
        <v>0</v>
      </c>
      <c r="H20" s="4" t="s">
        <v>25</v>
      </c>
      <c r="I20" s="4" t="s">
        <v>125</v>
      </c>
      <c r="J20" s="4" t="s">
        <v>124</v>
      </c>
      <c r="K20" s="7">
        <v>58800</v>
      </c>
      <c r="L20" s="10">
        <v>117.24</v>
      </c>
      <c r="M20" s="5" t="s">
        <v>36</v>
      </c>
      <c r="N20" s="4">
        <v>78.5</v>
      </c>
      <c r="O20" s="13">
        <v>9.6</v>
      </c>
      <c r="P20" s="13">
        <v>36.6</v>
      </c>
      <c r="Q20" s="4">
        <v>328239523</v>
      </c>
    </row>
    <row r="21" spans="1:17" x14ac:dyDescent="0.3">
      <c r="A21" s="4">
        <v>20</v>
      </c>
      <c r="B21" s="4" t="s">
        <v>126</v>
      </c>
      <c r="C21" s="4" t="s">
        <v>31</v>
      </c>
      <c r="D21" s="4" t="s">
        <v>122</v>
      </c>
      <c r="E21" s="4" t="s">
        <v>123</v>
      </c>
      <c r="F21" s="4" t="s">
        <v>20</v>
      </c>
      <c r="G21" s="4" t="b">
        <v>0</v>
      </c>
      <c r="H21" s="4" t="s">
        <v>25</v>
      </c>
      <c r="I21" s="4" t="s">
        <v>127</v>
      </c>
      <c r="J21" s="4" t="s">
        <v>124</v>
      </c>
      <c r="K21" s="7">
        <v>57600</v>
      </c>
      <c r="L21" s="10">
        <v>117.24</v>
      </c>
      <c r="M21" s="5" t="s">
        <v>36</v>
      </c>
      <c r="N21" s="4">
        <v>78.5</v>
      </c>
      <c r="O21" s="13">
        <v>9.6</v>
      </c>
      <c r="P21" s="13">
        <v>36.6</v>
      </c>
      <c r="Q21" s="4">
        <v>328239523</v>
      </c>
    </row>
    <row r="22" spans="1:17" x14ac:dyDescent="0.3">
      <c r="A22" s="4">
        <v>21</v>
      </c>
      <c r="B22" s="4" t="s">
        <v>128</v>
      </c>
      <c r="C22" s="4" t="s">
        <v>31</v>
      </c>
      <c r="D22" s="4" t="s">
        <v>129</v>
      </c>
      <c r="E22" s="4" t="s">
        <v>123</v>
      </c>
      <c r="F22" s="4" t="s">
        <v>20</v>
      </c>
      <c r="G22" s="4" t="b">
        <v>0</v>
      </c>
      <c r="H22" s="4" t="s">
        <v>84</v>
      </c>
      <c r="I22" s="4" t="s">
        <v>130</v>
      </c>
      <c r="J22" s="4" t="s">
        <v>124</v>
      </c>
      <c r="K22" s="7">
        <v>56700</v>
      </c>
      <c r="L22" s="10">
        <v>117.24</v>
      </c>
      <c r="M22" s="5" t="s">
        <v>36</v>
      </c>
      <c r="N22" s="4">
        <v>78.5</v>
      </c>
      <c r="O22" s="13">
        <v>9.6</v>
      </c>
      <c r="P22" s="13">
        <v>36.6</v>
      </c>
      <c r="Q22" s="4">
        <v>328239523</v>
      </c>
    </row>
    <row r="23" spans="1:17" x14ac:dyDescent="0.3">
      <c r="A23" s="4">
        <v>22</v>
      </c>
      <c r="B23" s="4" t="s">
        <v>131</v>
      </c>
      <c r="C23" s="4" t="s">
        <v>132</v>
      </c>
      <c r="D23" s="4" t="s">
        <v>133</v>
      </c>
      <c r="E23" s="4" t="s">
        <v>134</v>
      </c>
      <c r="F23" s="4" t="s">
        <v>58</v>
      </c>
      <c r="G23" s="4" t="b">
        <v>0</v>
      </c>
      <c r="H23" s="4" t="s">
        <v>25</v>
      </c>
      <c r="I23" s="4" t="s">
        <v>136</v>
      </c>
      <c r="J23" s="4" t="s">
        <v>135</v>
      </c>
      <c r="K23" s="7">
        <v>54400</v>
      </c>
      <c r="L23" s="10">
        <v>116.76</v>
      </c>
      <c r="M23" s="5" t="s">
        <v>137</v>
      </c>
      <c r="N23" s="4">
        <v>81.900000000000006</v>
      </c>
      <c r="O23" s="13">
        <v>12.8</v>
      </c>
      <c r="P23" s="13">
        <v>24.5</v>
      </c>
      <c r="Q23" s="4">
        <v>36991981</v>
      </c>
    </row>
    <row r="24" spans="1:17" x14ac:dyDescent="0.3">
      <c r="A24" s="4">
        <v>23</v>
      </c>
      <c r="B24" s="4" t="s">
        <v>138</v>
      </c>
      <c r="C24" s="4" t="s">
        <v>31</v>
      </c>
      <c r="D24" s="4" t="s">
        <v>32</v>
      </c>
      <c r="E24" s="4" t="s">
        <v>139</v>
      </c>
      <c r="F24" s="4" t="s">
        <v>37</v>
      </c>
      <c r="G24" s="4" t="b">
        <v>1</v>
      </c>
      <c r="H24" s="4" t="s">
        <v>25</v>
      </c>
      <c r="I24" s="4" t="s">
        <v>63</v>
      </c>
      <c r="J24" s="4" t="s">
        <v>140</v>
      </c>
      <c r="K24" s="7">
        <v>50100</v>
      </c>
      <c r="L24" s="10">
        <v>117.24</v>
      </c>
      <c r="M24" s="4" t="s">
        <v>36</v>
      </c>
      <c r="N24" s="4">
        <v>78.5</v>
      </c>
      <c r="O24" s="13">
        <v>9.6</v>
      </c>
      <c r="P24" s="13">
        <v>36.6</v>
      </c>
      <c r="Q24" s="4">
        <v>328239523</v>
      </c>
    </row>
    <row r="25" spans="1:17" x14ac:dyDescent="0.3">
      <c r="A25" s="4">
        <v>24</v>
      </c>
      <c r="B25" s="4" t="s">
        <v>141</v>
      </c>
      <c r="C25" s="4" t="s">
        <v>73</v>
      </c>
      <c r="D25" s="4" t="s">
        <v>142</v>
      </c>
      <c r="E25" s="4" t="s">
        <v>143</v>
      </c>
      <c r="F25" s="4" t="s">
        <v>71</v>
      </c>
      <c r="G25" s="4" t="b">
        <v>1</v>
      </c>
      <c r="H25" s="4" t="s">
        <v>25</v>
      </c>
      <c r="I25" s="4" t="s">
        <v>145</v>
      </c>
      <c r="J25" s="4" t="s">
        <v>144</v>
      </c>
      <c r="K25" s="7">
        <v>47200</v>
      </c>
      <c r="L25" s="10">
        <v>180.44</v>
      </c>
      <c r="M25" s="5" t="s">
        <v>77</v>
      </c>
      <c r="N25" s="4">
        <v>69.400000000000006</v>
      </c>
      <c r="O25" s="13">
        <v>11.2</v>
      </c>
      <c r="P25" s="13">
        <v>49.7</v>
      </c>
      <c r="Q25" s="4">
        <v>1366417754</v>
      </c>
    </row>
    <row r="26" spans="1:17" x14ac:dyDescent="0.3">
      <c r="A26" s="4">
        <v>25</v>
      </c>
      <c r="B26" s="4" t="s">
        <v>146</v>
      </c>
      <c r="C26" s="4" t="s">
        <v>31</v>
      </c>
      <c r="D26" s="4" t="s">
        <v>147</v>
      </c>
      <c r="E26" s="4" t="s">
        <v>148</v>
      </c>
      <c r="F26" s="4" t="s">
        <v>20</v>
      </c>
      <c r="G26" s="4" t="b">
        <v>1</v>
      </c>
      <c r="H26" s="4" t="s">
        <v>25</v>
      </c>
      <c r="I26" s="4" t="s">
        <v>150</v>
      </c>
      <c r="J26" s="4" t="s">
        <v>149</v>
      </c>
      <c r="K26" s="7">
        <v>45100</v>
      </c>
      <c r="L26" s="10">
        <v>117.24</v>
      </c>
      <c r="M26" s="5" t="s">
        <v>36</v>
      </c>
      <c r="N26" s="4">
        <v>78.5</v>
      </c>
      <c r="O26" s="13">
        <v>9.6</v>
      </c>
      <c r="P26" s="13">
        <v>36.6</v>
      </c>
      <c r="Q26" s="4">
        <v>328239523</v>
      </c>
    </row>
    <row r="27" spans="1:17" x14ac:dyDescent="0.3">
      <c r="A27" s="4">
        <v>26</v>
      </c>
      <c r="B27" s="4" t="s">
        <v>151</v>
      </c>
      <c r="C27" s="4" t="s">
        <v>104</v>
      </c>
      <c r="D27" s="4" t="s">
        <v>152</v>
      </c>
      <c r="E27" s="4" t="s">
        <v>153</v>
      </c>
      <c r="F27" s="4" t="s">
        <v>37</v>
      </c>
      <c r="G27" s="4" t="b">
        <v>1</v>
      </c>
      <c r="H27" s="4" t="s">
        <v>25</v>
      </c>
      <c r="I27" s="4" t="s">
        <v>155</v>
      </c>
      <c r="J27" s="4" t="s">
        <v>154</v>
      </c>
      <c r="K27" s="7">
        <v>45000</v>
      </c>
      <c r="L27" s="10">
        <v>125.08</v>
      </c>
      <c r="M27" s="5" t="s">
        <v>109</v>
      </c>
      <c r="N27" s="4">
        <v>77</v>
      </c>
      <c r="O27" s="13">
        <v>9.4</v>
      </c>
      <c r="P27" s="13">
        <v>59.2</v>
      </c>
      <c r="Q27" s="4">
        <v>1397715000</v>
      </c>
    </row>
    <row r="28" spans="1:17" x14ac:dyDescent="0.3">
      <c r="A28" s="4">
        <v>27</v>
      </c>
      <c r="B28" s="4" t="s">
        <v>156</v>
      </c>
      <c r="C28" s="4" t="s">
        <v>157</v>
      </c>
      <c r="D28" s="4" t="s">
        <v>158</v>
      </c>
      <c r="E28" s="4" t="s">
        <v>159</v>
      </c>
      <c r="F28" s="4" t="s">
        <v>20</v>
      </c>
      <c r="G28" s="4" t="b">
        <v>0</v>
      </c>
      <c r="H28" s="4" t="s">
        <v>25</v>
      </c>
      <c r="I28" s="4" t="s">
        <v>161</v>
      </c>
      <c r="J28" s="4" t="s">
        <v>160</v>
      </c>
      <c r="K28" s="7">
        <v>42900</v>
      </c>
      <c r="L28" s="10">
        <v>112.85</v>
      </c>
      <c r="M28" s="5" t="s">
        <v>162</v>
      </c>
      <c r="N28" s="4">
        <v>80.900000000000006</v>
      </c>
      <c r="O28" s="13">
        <v>11.5</v>
      </c>
      <c r="P28" s="13">
        <v>48.8</v>
      </c>
      <c r="Q28" s="4">
        <v>83132799</v>
      </c>
    </row>
    <row r="29" spans="1:17" x14ac:dyDescent="0.3">
      <c r="A29" s="4">
        <v>28</v>
      </c>
      <c r="B29" s="4" t="s">
        <v>163</v>
      </c>
      <c r="C29" s="4" t="s">
        <v>22</v>
      </c>
      <c r="D29" s="4" t="s">
        <v>23</v>
      </c>
      <c r="E29" s="4" t="s">
        <v>164</v>
      </c>
      <c r="F29" s="4" t="s">
        <v>20</v>
      </c>
      <c r="G29" s="4" t="b">
        <v>1</v>
      </c>
      <c r="H29" s="4" t="s">
        <v>25</v>
      </c>
      <c r="I29" s="4" t="s">
        <v>166</v>
      </c>
      <c r="J29" s="4" t="s">
        <v>165</v>
      </c>
      <c r="K29" s="7">
        <v>40100</v>
      </c>
      <c r="L29" s="10">
        <v>110.05</v>
      </c>
      <c r="M29" s="5" t="s">
        <v>28</v>
      </c>
      <c r="N29" s="4">
        <v>82.5</v>
      </c>
      <c r="O29" s="13">
        <v>24.2</v>
      </c>
      <c r="P29" s="13">
        <v>60.7</v>
      </c>
      <c r="Q29" s="4">
        <v>67059887</v>
      </c>
    </row>
    <row r="30" spans="1:17" x14ac:dyDescent="0.3">
      <c r="A30" s="4">
        <v>29</v>
      </c>
      <c r="B30" s="4" t="s">
        <v>168</v>
      </c>
      <c r="C30" s="4" t="s">
        <v>169</v>
      </c>
      <c r="D30" s="4" t="s">
        <v>170</v>
      </c>
      <c r="E30" s="4" t="s">
        <v>171</v>
      </c>
      <c r="F30" s="4" t="s">
        <v>167</v>
      </c>
      <c r="G30" s="4" t="b">
        <v>0</v>
      </c>
      <c r="H30" s="4" t="s">
        <v>25</v>
      </c>
      <c r="I30" s="4" t="s">
        <v>173</v>
      </c>
      <c r="J30" s="4" t="s">
        <v>172</v>
      </c>
      <c r="K30" s="7">
        <v>39100</v>
      </c>
      <c r="L30" s="10">
        <v>99.55</v>
      </c>
      <c r="M30" s="5" t="s">
        <v>174</v>
      </c>
      <c r="N30" s="4">
        <v>83.6</v>
      </c>
      <c r="O30" s="13">
        <v>10.1</v>
      </c>
      <c r="P30" s="13">
        <v>28.8</v>
      </c>
      <c r="Q30" s="4">
        <v>8574832</v>
      </c>
    </row>
    <row r="31" spans="1:17" x14ac:dyDescent="0.3">
      <c r="A31" s="4">
        <v>30</v>
      </c>
      <c r="B31" s="4" t="s">
        <v>175</v>
      </c>
      <c r="C31" s="4" t="s">
        <v>176</v>
      </c>
      <c r="D31" s="4" t="s">
        <v>177</v>
      </c>
      <c r="E31" s="4" t="s">
        <v>178</v>
      </c>
      <c r="F31" s="4" t="s">
        <v>102</v>
      </c>
      <c r="G31" s="4" t="b">
        <v>0</v>
      </c>
      <c r="H31" s="4" t="s">
        <v>25</v>
      </c>
      <c r="I31" s="4" t="s">
        <v>180</v>
      </c>
      <c r="J31" s="4" t="s">
        <v>179</v>
      </c>
      <c r="K31" s="7">
        <v>38900</v>
      </c>
      <c r="L31" s="10">
        <v>117.11</v>
      </c>
      <c r="M31" s="5" t="s">
        <v>181</v>
      </c>
      <c r="N31" s="4">
        <v>81.599999999999994</v>
      </c>
      <c r="O31" s="13">
        <v>24</v>
      </c>
      <c r="P31" s="13">
        <v>55.4</v>
      </c>
      <c r="Q31" s="4">
        <v>11484055</v>
      </c>
    </row>
    <row r="32" spans="1:17" x14ac:dyDescent="0.3">
      <c r="A32" s="4">
        <v>31</v>
      </c>
      <c r="B32" s="4" t="s">
        <v>182</v>
      </c>
      <c r="C32" s="4" t="s">
        <v>31</v>
      </c>
      <c r="D32" s="4" t="s">
        <v>183</v>
      </c>
      <c r="E32" s="4" t="s">
        <v>184</v>
      </c>
      <c r="F32" s="4" t="s">
        <v>102</v>
      </c>
      <c r="G32" s="4" t="b">
        <v>0</v>
      </c>
      <c r="H32" s="4" t="s">
        <v>84</v>
      </c>
      <c r="I32" s="4" t="s">
        <v>186</v>
      </c>
      <c r="J32" s="4" t="s">
        <v>185</v>
      </c>
      <c r="K32" s="7">
        <v>38300</v>
      </c>
      <c r="L32" s="10">
        <v>117.24</v>
      </c>
      <c r="M32" s="5" t="s">
        <v>36</v>
      </c>
      <c r="N32" s="4">
        <v>78.5</v>
      </c>
      <c r="O32" s="13">
        <v>9.6</v>
      </c>
      <c r="P32" s="13">
        <v>36.6</v>
      </c>
      <c r="Q32" s="4">
        <v>328239523</v>
      </c>
    </row>
    <row r="33" spans="1:17" x14ac:dyDescent="0.3">
      <c r="A33" s="4">
        <v>31</v>
      </c>
      <c r="B33" s="4" t="s">
        <v>187</v>
      </c>
      <c r="C33" s="4" t="s">
        <v>31</v>
      </c>
      <c r="D33" s="4" t="s">
        <v>188</v>
      </c>
      <c r="E33" s="4" t="s">
        <v>184</v>
      </c>
      <c r="F33" s="4" t="s">
        <v>102</v>
      </c>
      <c r="G33" s="4" t="b">
        <v>0</v>
      </c>
      <c r="H33" s="4" t="s">
        <v>25</v>
      </c>
      <c r="I33" s="4" t="s">
        <v>189</v>
      </c>
      <c r="J33" s="4" t="s">
        <v>185</v>
      </c>
      <c r="K33" s="7">
        <v>38300</v>
      </c>
      <c r="L33" s="10">
        <v>117.24</v>
      </c>
      <c r="M33" s="5" t="s">
        <v>36</v>
      </c>
      <c r="N33" s="4">
        <v>78.5</v>
      </c>
      <c r="O33" s="13">
        <v>9.6</v>
      </c>
      <c r="P33" s="13">
        <v>36.6</v>
      </c>
      <c r="Q33" s="4">
        <v>328239523</v>
      </c>
    </row>
    <row r="34" spans="1:17" x14ac:dyDescent="0.3">
      <c r="A34" s="4">
        <v>34</v>
      </c>
      <c r="B34" s="4" t="s">
        <v>190</v>
      </c>
      <c r="C34" s="4" t="s">
        <v>104</v>
      </c>
      <c r="D34" s="4" t="s">
        <v>191</v>
      </c>
      <c r="E34" s="4" t="s">
        <v>192</v>
      </c>
      <c r="F34" s="4" t="s">
        <v>37</v>
      </c>
      <c r="G34" s="4" t="b">
        <v>1</v>
      </c>
      <c r="H34" s="4" t="s">
        <v>25</v>
      </c>
      <c r="I34" s="4" t="s">
        <v>194</v>
      </c>
      <c r="J34" s="4" t="s">
        <v>193</v>
      </c>
      <c r="K34" s="7">
        <v>35300</v>
      </c>
      <c r="L34" s="10">
        <v>125.08</v>
      </c>
      <c r="M34" s="5" t="s">
        <v>109</v>
      </c>
      <c r="N34" s="4">
        <v>77</v>
      </c>
      <c r="O34" s="13">
        <v>9.4</v>
      </c>
      <c r="P34" s="13">
        <v>59.2</v>
      </c>
      <c r="Q34" s="4">
        <v>1397715000</v>
      </c>
    </row>
    <row r="35" spans="1:17" x14ac:dyDescent="0.3">
      <c r="A35" s="4">
        <v>35</v>
      </c>
      <c r="B35" s="4" t="s">
        <v>196</v>
      </c>
      <c r="C35" s="4" t="s">
        <v>31</v>
      </c>
      <c r="D35" s="4" t="s">
        <v>197</v>
      </c>
      <c r="E35" s="4" t="s">
        <v>198</v>
      </c>
      <c r="F35" s="4" t="s">
        <v>195</v>
      </c>
      <c r="G35" s="4" t="b">
        <v>0</v>
      </c>
      <c r="H35" s="4" t="s">
        <v>84</v>
      </c>
      <c r="I35" s="4" t="s">
        <v>200</v>
      </c>
      <c r="J35" s="4" t="s">
        <v>199</v>
      </c>
      <c r="K35" s="7">
        <v>35000</v>
      </c>
      <c r="L35" s="10">
        <v>117.24</v>
      </c>
      <c r="M35" s="5" t="s">
        <v>36</v>
      </c>
      <c r="N35" s="4">
        <v>78.5</v>
      </c>
      <c r="O35" s="13">
        <v>9.6</v>
      </c>
      <c r="P35" s="13">
        <v>36.6</v>
      </c>
      <c r="Q35" s="4">
        <v>328239523</v>
      </c>
    </row>
    <row r="36" spans="1:17" x14ac:dyDescent="0.3">
      <c r="A36" s="4">
        <v>35</v>
      </c>
      <c r="B36" s="4" t="s">
        <v>201</v>
      </c>
      <c r="C36" s="4" t="s">
        <v>31</v>
      </c>
      <c r="D36" s="4" t="s">
        <v>202</v>
      </c>
      <c r="E36" s="4" t="s">
        <v>203</v>
      </c>
      <c r="F36" s="4" t="s">
        <v>48</v>
      </c>
      <c r="G36" s="4" t="b">
        <v>1</v>
      </c>
      <c r="H36" s="4" t="s">
        <v>25</v>
      </c>
      <c r="I36" s="4" t="s">
        <v>205</v>
      </c>
      <c r="J36" s="4" t="s">
        <v>204</v>
      </c>
      <c r="K36" s="7">
        <v>35000</v>
      </c>
      <c r="L36" s="10">
        <v>117.24</v>
      </c>
      <c r="M36" s="5" t="s">
        <v>36</v>
      </c>
      <c r="N36" s="4">
        <v>78.5</v>
      </c>
      <c r="O36" s="13">
        <v>9.6</v>
      </c>
      <c r="P36" s="13">
        <v>36.6</v>
      </c>
      <c r="Q36" s="4">
        <v>328239523</v>
      </c>
    </row>
    <row r="37" spans="1:17" x14ac:dyDescent="0.3">
      <c r="A37" s="4">
        <v>37</v>
      </c>
      <c r="B37" s="4" t="s">
        <v>206</v>
      </c>
      <c r="C37" s="4" t="s">
        <v>207</v>
      </c>
      <c r="D37" s="4" t="s">
        <v>208</v>
      </c>
      <c r="E37" s="4" t="s">
        <v>209</v>
      </c>
      <c r="F37" s="4" t="s">
        <v>102</v>
      </c>
      <c r="G37" s="4" t="b">
        <v>0</v>
      </c>
      <c r="H37" s="4" t="s">
        <v>25</v>
      </c>
      <c r="I37" s="4" t="s">
        <v>113</v>
      </c>
      <c r="J37" s="4" t="s">
        <v>210</v>
      </c>
      <c r="K37" s="7">
        <v>34700</v>
      </c>
      <c r="L37" s="10">
        <v>118.06</v>
      </c>
      <c r="M37" s="5" t="s">
        <v>211</v>
      </c>
      <c r="N37" s="4">
        <v>81.599999999999994</v>
      </c>
      <c r="O37" s="13">
        <v>25.4</v>
      </c>
      <c r="P37" s="13">
        <v>51.4</v>
      </c>
      <c r="Q37" s="4">
        <v>8877067</v>
      </c>
    </row>
    <row r="38" spans="1:17" x14ac:dyDescent="0.3">
      <c r="A38" s="4">
        <v>38</v>
      </c>
      <c r="B38" s="4" t="s">
        <v>212</v>
      </c>
      <c r="C38" s="4" t="s">
        <v>104</v>
      </c>
      <c r="D38" s="4" t="s">
        <v>213</v>
      </c>
      <c r="E38" s="4" t="s">
        <v>214</v>
      </c>
      <c r="F38" s="4" t="s">
        <v>29</v>
      </c>
      <c r="G38" s="4" t="b">
        <v>1</v>
      </c>
      <c r="H38" s="4" t="s">
        <v>25</v>
      </c>
      <c r="I38" s="4" t="s">
        <v>216</v>
      </c>
      <c r="J38" s="4" t="s">
        <v>215</v>
      </c>
      <c r="K38" s="7">
        <v>33400</v>
      </c>
      <c r="L38" s="10">
        <v>125.08</v>
      </c>
      <c r="M38" s="5" t="s">
        <v>109</v>
      </c>
      <c r="N38" s="4">
        <v>77</v>
      </c>
      <c r="O38" s="13">
        <v>9.4</v>
      </c>
      <c r="P38" s="13">
        <v>59.2</v>
      </c>
      <c r="Q38" s="4">
        <v>1397715000</v>
      </c>
    </row>
    <row r="39" spans="1:17" x14ac:dyDescent="0.3">
      <c r="A39" s="4">
        <v>39</v>
      </c>
      <c r="B39" s="4" t="s">
        <v>217</v>
      </c>
      <c r="C39" s="4" t="s">
        <v>218</v>
      </c>
      <c r="D39" s="4" t="s">
        <v>219</v>
      </c>
      <c r="E39" s="4" t="s">
        <v>220</v>
      </c>
      <c r="F39" s="4" t="s">
        <v>20</v>
      </c>
      <c r="G39" s="4" t="b">
        <v>1</v>
      </c>
      <c r="H39" s="4" t="s">
        <v>25</v>
      </c>
      <c r="I39" s="4" t="s">
        <v>222</v>
      </c>
      <c r="J39" s="4" t="s">
        <v>221</v>
      </c>
      <c r="K39" s="7">
        <v>32600</v>
      </c>
      <c r="L39" s="10">
        <v>105.48</v>
      </c>
      <c r="M39" s="5" t="s">
        <v>223</v>
      </c>
      <c r="N39" s="4">
        <v>84.2</v>
      </c>
      <c r="O39" s="13">
        <v>11.9</v>
      </c>
      <c r="P39" s="13">
        <v>46.7</v>
      </c>
      <c r="Q39" s="4">
        <v>126226568</v>
      </c>
    </row>
    <row r="40" spans="1:17" x14ac:dyDescent="0.3">
      <c r="A40" s="4">
        <v>40</v>
      </c>
      <c r="B40" s="4" t="s">
        <v>224</v>
      </c>
      <c r="C40" s="4" t="s">
        <v>225</v>
      </c>
      <c r="D40" s="4" t="s">
        <v>226</v>
      </c>
      <c r="E40" s="4" t="s">
        <v>227</v>
      </c>
      <c r="F40" s="4" t="s">
        <v>71</v>
      </c>
      <c r="G40" s="4" t="b">
        <v>1</v>
      </c>
      <c r="H40" s="4" t="s">
        <v>25</v>
      </c>
      <c r="I40" s="4" t="s">
        <v>229</v>
      </c>
      <c r="J40" s="4" t="s">
        <v>228</v>
      </c>
      <c r="K40" s="7">
        <v>32100</v>
      </c>
      <c r="L40" s="10">
        <v>119.62</v>
      </c>
      <c r="M40" s="5" t="s">
        <v>230</v>
      </c>
      <c r="N40" s="4">
        <v>81.3</v>
      </c>
      <c r="O40" s="13">
        <v>25.5</v>
      </c>
      <c r="P40" s="13">
        <v>30.6</v>
      </c>
      <c r="Q40" s="4">
        <v>66834405</v>
      </c>
    </row>
    <row r="41" spans="1:17" x14ac:dyDescent="0.3">
      <c r="A41" s="4">
        <v>41</v>
      </c>
      <c r="B41" s="4" t="s">
        <v>231</v>
      </c>
      <c r="C41" s="4" t="s">
        <v>31</v>
      </c>
      <c r="D41" s="4" t="s">
        <v>60</v>
      </c>
      <c r="E41" s="4" t="s">
        <v>232</v>
      </c>
      <c r="F41" s="4" t="s">
        <v>20</v>
      </c>
      <c r="G41" s="4" t="b">
        <v>0</v>
      </c>
      <c r="H41" s="4" t="s">
        <v>25</v>
      </c>
      <c r="I41" s="4" t="s">
        <v>234</v>
      </c>
      <c r="J41" s="4" t="s">
        <v>233</v>
      </c>
      <c r="K41" s="7">
        <v>31600</v>
      </c>
      <c r="L41" s="10">
        <v>117.24</v>
      </c>
      <c r="M41" s="5" t="s">
        <v>36</v>
      </c>
      <c r="N41" s="4">
        <v>78.5</v>
      </c>
      <c r="O41" s="13">
        <v>9.6</v>
      </c>
      <c r="P41" s="13">
        <v>36.6</v>
      </c>
      <c r="Q41" s="4">
        <v>328239523</v>
      </c>
    </row>
    <row r="42" spans="1:17" x14ac:dyDescent="0.3">
      <c r="A42" s="4">
        <v>41</v>
      </c>
      <c r="B42" s="4" t="s">
        <v>235</v>
      </c>
      <c r="C42" s="4" t="s">
        <v>31</v>
      </c>
      <c r="D42" s="4" t="s">
        <v>60</v>
      </c>
      <c r="E42" s="4" t="s">
        <v>232</v>
      </c>
      <c r="F42" s="4" t="s">
        <v>20</v>
      </c>
      <c r="G42" s="4" t="b">
        <v>0</v>
      </c>
      <c r="H42" s="4" t="s">
        <v>25</v>
      </c>
      <c r="I42" s="4" t="s">
        <v>236</v>
      </c>
      <c r="J42" s="4" t="s">
        <v>233</v>
      </c>
      <c r="K42" s="7">
        <v>31600</v>
      </c>
      <c r="L42" s="10">
        <v>117.24</v>
      </c>
      <c r="M42" s="5" t="s">
        <v>36</v>
      </c>
      <c r="N42" s="4">
        <v>78.5</v>
      </c>
      <c r="O42" s="13">
        <v>9.6</v>
      </c>
      <c r="P42" s="13">
        <v>36.6</v>
      </c>
      <c r="Q42" s="4">
        <v>328239523</v>
      </c>
    </row>
    <row r="43" spans="1:17" x14ac:dyDescent="0.3">
      <c r="A43" s="4">
        <v>43</v>
      </c>
      <c r="B43" s="4" t="s">
        <v>237</v>
      </c>
      <c r="C43" s="4" t="s">
        <v>169</v>
      </c>
      <c r="D43" s="4" t="s">
        <v>238</v>
      </c>
      <c r="E43" s="4" t="s">
        <v>171</v>
      </c>
      <c r="F43" s="4" t="s">
        <v>167</v>
      </c>
      <c r="G43" s="4" t="b">
        <v>1</v>
      </c>
      <c r="H43" s="4" t="s">
        <v>25</v>
      </c>
      <c r="I43" s="4" t="s">
        <v>240</v>
      </c>
      <c r="J43" s="4" t="s">
        <v>239</v>
      </c>
      <c r="K43" s="7">
        <v>31200</v>
      </c>
      <c r="L43" s="10">
        <v>99.55</v>
      </c>
      <c r="M43" s="5" t="s">
        <v>174</v>
      </c>
      <c r="N43" s="4">
        <v>83.6</v>
      </c>
      <c r="O43" s="13">
        <v>10.1</v>
      </c>
      <c r="P43" s="13">
        <v>28.8</v>
      </c>
      <c r="Q43" s="4">
        <v>8574832</v>
      </c>
    </row>
    <row r="44" spans="1:17" x14ac:dyDescent="0.3">
      <c r="A44" s="4">
        <v>43</v>
      </c>
      <c r="B44" s="4" t="s">
        <v>241</v>
      </c>
      <c r="C44" s="4" t="s">
        <v>169</v>
      </c>
      <c r="D44" s="4" t="s">
        <v>238</v>
      </c>
      <c r="E44" s="4" t="s">
        <v>171</v>
      </c>
      <c r="F44" s="4" t="s">
        <v>167</v>
      </c>
      <c r="G44" s="4" t="b">
        <v>1</v>
      </c>
      <c r="H44" s="4" t="s">
        <v>84</v>
      </c>
      <c r="I44" s="4" t="s">
        <v>243</v>
      </c>
      <c r="J44" s="4" t="s">
        <v>242</v>
      </c>
      <c r="K44" s="7">
        <v>31200</v>
      </c>
      <c r="L44" s="10">
        <v>99.55</v>
      </c>
      <c r="M44" s="5" t="s">
        <v>174</v>
      </c>
      <c r="N44" s="4">
        <v>83.6</v>
      </c>
      <c r="O44" s="13">
        <v>10.1</v>
      </c>
      <c r="P44" s="13">
        <v>28.8</v>
      </c>
      <c r="Q44" s="4">
        <v>8574832</v>
      </c>
    </row>
    <row r="45" spans="1:17" x14ac:dyDescent="0.3">
      <c r="A45" s="4">
        <v>45</v>
      </c>
      <c r="B45" s="4" t="s">
        <v>244</v>
      </c>
      <c r="C45" s="4" t="s">
        <v>104</v>
      </c>
      <c r="D45" s="4" t="s">
        <v>245</v>
      </c>
      <c r="E45" s="4" t="s">
        <v>246</v>
      </c>
      <c r="F45" s="4" t="s">
        <v>37</v>
      </c>
      <c r="G45" s="4" t="b">
        <v>1</v>
      </c>
      <c r="H45" s="4" t="s">
        <v>25</v>
      </c>
      <c r="I45" s="4" t="s">
        <v>248</v>
      </c>
      <c r="J45" s="4" t="s">
        <v>247</v>
      </c>
      <c r="K45" s="7">
        <v>30200</v>
      </c>
      <c r="L45" s="10">
        <v>125.08</v>
      </c>
      <c r="M45" s="5" t="s">
        <v>109</v>
      </c>
      <c r="N45" s="4">
        <v>77</v>
      </c>
      <c r="O45" s="13">
        <v>9.4</v>
      </c>
      <c r="P45" s="13">
        <v>59.2</v>
      </c>
      <c r="Q45" s="4">
        <v>1397715000</v>
      </c>
    </row>
    <row r="46" spans="1:17" x14ac:dyDescent="0.3">
      <c r="A46" s="4">
        <v>46</v>
      </c>
      <c r="B46" s="4" t="s">
        <v>250</v>
      </c>
      <c r="C46" s="4" t="s">
        <v>157</v>
      </c>
      <c r="D46" s="4" t="s">
        <v>251</v>
      </c>
      <c r="E46" s="4" t="s">
        <v>252</v>
      </c>
      <c r="F46" s="4" t="s">
        <v>249</v>
      </c>
      <c r="G46" s="4" t="b">
        <v>1</v>
      </c>
      <c r="H46" s="4" t="s">
        <v>25</v>
      </c>
      <c r="I46" s="4" t="s">
        <v>254</v>
      </c>
      <c r="J46" s="4" t="s">
        <v>253</v>
      </c>
      <c r="K46" s="7">
        <v>29700</v>
      </c>
      <c r="L46" s="10">
        <v>112.85</v>
      </c>
      <c r="M46" s="5" t="s">
        <v>162</v>
      </c>
      <c r="N46" s="4">
        <v>80.900000000000006</v>
      </c>
      <c r="O46" s="13">
        <v>11.5</v>
      </c>
      <c r="P46" s="13">
        <v>48.8</v>
      </c>
      <c r="Q46" s="4">
        <v>83132799</v>
      </c>
    </row>
    <row r="47" spans="1:17" x14ac:dyDescent="0.3">
      <c r="A47" s="4">
        <v>48</v>
      </c>
      <c r="B47" s="4" t="s">
        <v>255</v>
      </c>
      <c r="C47" s="4" t="s">
        <v>31</v>
      </c>
      <c r="D47" s="4" t="s">
        <v>256</v>
      </c>
      <c r="E47" s="4" t="s">
        <v>257</v>
      </c>
      <c r="F47" s="4" t="s">
        <v>48</v>
      </c>
      <c r="G47" s="4" t="b">
        <v>1</v>
      </c>
      <c r="H47" s="4" t="s">
        <v>25</v>
      </c>
      <c r="I47" s="4" t="s">
        <v>42</v>
      </c>
      <c r="J47" s="4" t="s">
        <v>258</v>
      </c>
      <c r="K47" s="7">
        <v>28500</v>
      </c>
      <c r="L47" s="10">
        <v>117.24</v>
      </c>
      <c r="M47" s="5" t="s">
        <v>36</v>
      </c>
      <c r="N47" s="4">
        <v>78.5</v>
      </c>
      <c r="O47" s="13">
        <v>9.6</v>
      </c>
      <c r="P47" s="13">
        <v>36.6</v>
      </c>
      <c r="Q47" s="4">
        <v>328239523</v>
      </c>
    </row>
    <row r="48" spans="1:17" x14ac:dyDescent="0.3">
      <c r="A48" s="4">
        <v>49</v>
      </c>
      <c r="B48" s="4" t="s">
        <v>259</v>
      </c>
      <c r="C48" s="4" t="s">
        <v>31</v>
      </c>
      <c r="D48" s="4" t="s">
        <v>260</v>
      </c>
      <c r="E48" s="4" t="s">
        <v>203</v>
      </c>
      <c r="F48" s="4" t="s">
        <v>48</v>
      </c>
      <c r="G48" s="4" t="b">
        <v>1</v>
      </c>
      <c r="H48" s="4" t="s">
        <v>25</v>
      </c>
      <c r="I48" s="4" t="s">
        <v>125</v>
      </c>
      <c r="J48" s="4" t="s">
        <v>261</v>
      </c>
      <c r="K48" s="7">
        <v>28100</v>
      </c>
      <c r="L48" s="10">
        <v>117.24</v>
      </c>
      <c r="M48" s="5" t="s">
        <v>36</v>
      </c>
      <c r="N48" s="4">
        <v>78.5</v>
      </c>
      <c r="O48" s="13">
        <v>9.6</v>
      </c>
      <c r="P48" s="13">
        <v>36.6</v>
      </c>
      <c r="Q48" s="4">
        <v>328239523</v>
      </c>
    </row>
    <row r="49" spans="1:17" x14ac:dyDescent="0.3">
      <c r="A49" s="4">
        <v>50</v>
      </c>
      <c r="B49" s="4" t="s">
        <v>262</v>
      </c>
      <c r="C49" s="4" t="s">
        <v>31</v>
      </c>
      <c r="D49" s="4" t="s">
        <v>60</v>
      </c>
      <c r="E49" s="4" t="s">
        <v>263</v>
      </c>
      <c r="F49" s="4" t="s">
        <v>48</v>
      </c>
      <c r="G49" s="4" t="b">
        <v>1</v>
      </c>
      <c r="H49" s="4" t="s">
        <v>25</v>
      </c>
      <c r="I49" s="4" t="s">
        <v>265</v>
      </c>
      <c r="J49" s="4" t="s">
        <v>264</v>
      </c>
      <c r="K49" s="7">
        <v>27800</v>
      </c>
      <c r="L49" s="10">
        <v>117.24</v>
      </c>
      <c r="M49" s="5" t="s">
        <v>36</v>
      </c>
      <c r="N49" s="4">
        <v>78.5</v>
      </c>
      <c r="O49" s="13">
        <v>9.6</v>
      </c>
      <c r="P49" s="13">
        <v>36.6</v>
      </c>
      <c r="Q49" s="4">
        <v>328239523</v>
      </c>
    </row>
    <row r="50" spans="1:17" x14ac:dyDescent="0.3">
      <c r="A50" s="4">
        <v>51</v>
      </c>
      <c r="B50" s="4" t="s">
        <v>266</v>
      </c>
      <c r="C50" s="4" t="s">
        <v>157</v>
      </c>
      <c r="D50" s="4" t="s">
        <v>267</v>
      </c>
      <c r="E50" s="4" t="s">
        <v>268</v>
      </c>
      <c r="F50" s="4" t="s">
        <v>29</v>
      </c>
      <c r="G50" s="4" t="b">
        <v>0</v>
      </c>
      <c r="H50" s="4" t="s">
        <v>84</v>
      </c>
      <c r="I50" s="4" t="s">
        <v>270</v>
      </c>
      <c r="J50" s="4" t="s">
        <v>269</v>
      </c>
      <c r="K50" s="7">
        <v>27400</v>
      </c>
      <c r="L50" s="10">
        <v>112.85</v>
      </c>
      <c r="M50" s="5" t="s">
        <v>162</v>
      </c>
      <c r="N50" s="4">
        <v>80.900000000000006</v>
      </c>
      <c r="O50" s="13">
        <v>11.5</v>
      </c>
      <c r="P50" s="13">
        <v>48.8</v>
      </c>
      <c r="Q50" s="4">
        <v>83132799</v>
      </c>
    </row>
    <row r="51" spans="1:17" x14ac:dyDescent="0.3">
      <c r="A51" s="4">
        <v>52</v>
      </c>
      <c r="B51" s="4" t="s">
        <v>272</v>
      </c>
      <c r="C51" s="4" t="s">
        <v>273</v>
      </c>
      <c r="D51" s="4" t="s">
        <v>274</v>
      </c>
      <c r="E51" s="4" t="s">
        <v>275</v>
      </c>
      <c r="F51" s="4" t="s">
        <v>271</v>
      </c>
      <c r="G51" s="4" t="b">
        <v>0</v>
      </c>
      <c r="H51" s="4" t="s">
        <v>84</v>
      </c>
      <c r="I51" s="4" t="s">
        <v>277</v>
      </c>
      <c r="J51" s="4" t="s">
        <v>276</v>
      </c>
      <c r="K51" s="7">
        <v>27000</v>
      </c>
      <c r="L51" s="10">
        <v>119.8</v>
      </c>
      <c r="M51" s="5" t="s">
        <v>278</v>
      </c>
      <c r="N51" s="4">
        <v>82.7</v>
      </c>
      <c r="O51" s="13">
        <v>23</v>
      </c>
      <c r="P51" s="13">
        <v>47.4</v>
      </c>
      <c r="Q51" s="4">
        <v>25766605</v>
      </c>
    </row>
    <row r="52" spans="1:17" x14ac:dyDescent="0.3">
      <c r="A52" s="4">
        <v>53</v>
      </c>
      <c r="B52" s="4" t="s">
        <v>279</v>
      </c>
      <c r="C52" s="4" t="s">
        <v>104</v>
      </c>
      <c r="D52" s="4" t="s">
        <v>105</v>
      </c>
      <c r="E52" s="4" t="s">
        <v>280</v>
      </c>
      <c r="F52" s="4" t="s">
        <v>37</v>
      </c>
      <c r="G52" s="4" t="b">
        <v>1</v>
      </c>
      <c r="H52" s="4" t="s">
        <v>25</v>
      </c>
      <c r="I52" s="4" t="s">
        <v>282</v>
      </c>
      <c r="J52" s="4" t="s">
        <v>281</v>
      </c>
      <c r="K52" s="7">
        <v>26700</v>
      </c>
      <c r="L52" s="10">
        <v>125.08</v>
      </c>
      <c r="M52" s="5" t="s">
        <v>109</v>
      </c>
      <c r="N52" s="4">
        <v>77</v>
      </c>
      <c r="O52" s="13">
        <v>9.4</v>
      </c>
      <c r="P52" s="13">
        <v>59.2</v>
      </c>
      <c r="Q52" s="4">
        <v>1397715000</v>
      </c>
    </row>
    <row r="53" spans="1:17" x14ac:dyDescent="0.3">
      <c r="A53" s="4">
        <v>54</v>
      </c>
      <c r="B53" s="4" t="s">
        <v>283</v>
      </c>
      <c r="C53" s="4" t="s">
        <v>66</v>
      </c>
      <c r="D53" s="4" t="s">
        <v>67</v>
      </c>
      <c r="E53" s="4" t="s">
        <v>275</v>
      </c>
      <c r="F53" s="4" t="s">
        <v>271</v>
      </c>
      <c r="G53" s="4" t="b">
        <v>0</v>
      </c>
      <c r="H53" s="4" t="s">
        <v>25</v>
      </c>
      <c r="I53" s="4" t="s">
        <v>285</v>
      </c>
      <c r="J53" s="4" t="s">
        <v>284</v>
      </c>
      <c r="K53" s="7">
        <v>26600</v>
      </c>
      <c r="L53" s="10">
        <v>141.54</v>
      </c>
      <c r="M53" s="5" t="s">
        <v>70</v>
      </c>
      <c r="N53" s="4">
        <v>75</v>
      </c>
      <c r="O53" s="13">
        <v>13.1</v>
      </c>
      <c r="P53" s="13">
        <v>55.1</v>
      </c>
      <c r="Q53" s="4">
        <v>126014024</v>
      </c>
    </row>
    <row r="54" spans="1:17" x14ac:dyDescent="0.3">
      <c r="A54" s="4">
        <v>55</v>
      </c>
      <c r="B54" s="4" t="s">
        <v>286</v>
      </c>
      <c r="C54" s="4" t="s">
        <v>73</v>
      </c>
      <c r="D54" s="4" t="s">
        <v>287</v>
      </c>
      <c r="E54" s="4" t="s">
        <v>288</v>
      </c>
      <c r="F54" s="4" t="s">
        <v>37</v>
      </c>
      <c r="G54" s="4" t="b">
        <v>1</v>
      </c>
      <c r="H54" s="4" t="s">
        <v>25</v>
      </c>
      <c r="I54" s="4" t="s">
        <v>290</v>
      </c>
      <c r="J54" s="4" t="s">
        <v>289</v>
      </c>
      <c r="K54" s="7">
        <v>25600</v>
      </c>
      <c r="L54" s="10">
        <v>180.44</v>
      </c>
      <c r="M54" s="5" t="s">
        <v>77</v>
      </c>
      <c r="N54" s="4">
        <v>69.400000000000006</v>
      </c>
      <c r="O54" s="13">
        <v>11.2</v>
      </c>
      <c r="P54" s="13">
        <v>49.7</v>
      </c>
      <c r="Q54" s="4">
        <v>1366417754</v>
      </c>
    </row>
    <row r="55" spans="1:17" x14ac:dyDescent="0.3">
      <c r="A55" s="4">
        <v>56</v>
      </c>
      <c r="B55" s="4" t="s">
        <v>292</v>
      </c>
      <c r="C55" s="4" t="s">
        <v>293</v>
      </c>
      <c r="D55" s="4" t="s">
        <v>294</v>
      </c>
      <c r="E55" s="4" t="s">
        <v>295</v>
      </c>
      <c r="F55" s="4" t="s">
        <v>291</v>
      </c>
      <c r="G55" s="4" t="b">
        <v>1</v>
      </c>
      <c r="H55" s="4" t="s">
        <v>25</v>
      </c>
      <c r="I55" s="4" t="s">
        <v>297</v>
      </c>
      <c r="J55" s="4" t="s">
        <v>296</v>
      </c>
      <c r="K55" s="7">
        <v>25500</v>
      </c>
      <c r="L55" s="10">
        <v>151.18</v>
      </c>
      <c r="M55" s="5" t="s">
        <v>298</v>
      </c>
      <c r="N55" s="4">
        <v>71.5</v>
      </c>
      <c r="O55" s="13">
        <v>10.199999999999999</v>
      </c>
      <c r="P55" s="13">
        <v>30.1</v>
      </c>
      <c r="Q55" s="4">
        <v>270203917</v>
      </c>
    </row>
    <row r="56" spans="1:17" x14ac:dyDescent="0.3">
      <c r="A56" s="4">
        <v>57</v>
      </c>
      <c r="B56" s="4" t="s">
        <v>299</v>
      </c>
      <c r="C56" s="4" t="s">
        <v>31</v>
      </c>
      <c r="D56" s="4" t="s">
        <v>300</v>
      </c>
      <c r="E56" s="4" t="s">
        <v>301</v>
      </c>
      <c r="F56" s="4" t="s">
        <v>48</v>
      </c>
      <c r="G56" s="4" t="b">
        <v>1</v>
      </c>
      <c r="H56" s="4" t="s">
        <v>25</v>
      </c>
      <c r="I56" s="4" t="s">
        <v>303</v>
      </c>
      <c r="J56" s="4" t="s">
        <v>302</v>
      </c>
      <c r="K56" s="7">
        <v>25300</v>
      </c>
      <c r="L56" s="10">
        <v>117.24</v>
      </c>
      <c r="M56" s="5" t="s">
        <v>36</v>
      </c>
      <c r="N56" s="4">
        <v>78.5</v>
      </c>
      <c r="O56" s="13">
        <v>9.6</v>
      </c>
      <c r="P56" s="13">
        <v>36.6</v>
      </c>
      <c r="Q56" s="4">
        <v>328239523</v>
      </c>
    </row>
    <row r="57" spans="1:17" x14ac:dyDescent="0.3">
      <c r="A57" s="4">
        <v>58</v>
      </c>
      <c r="B57" s="4" t="s">
        <v>304</v>
      </c>
      <c r="C57" s="4" t="s">
        <v>305</v>
      </c>
      <c r="D57" s="4" t="s">
        <v>306</v>
      </c>
      <c r="E57" s="4" t="s">
        <v>307</v>
      </c>
      <c r="F57" s="4" t="s">
        <v>271</v>
      </c>
      <c r="G57" s="4" t="b">
        <v>1</v>
      </c>
      <c r="H57" s="4" t="s">
        <v>25</v>
      </c>
      <c r="I57" s="4" t="s">
        <v>309</v>
      </c>
      <c r="J57" s="4" t="s">
        <v>308</v>
      </c>
      <c r="K57" s="7">
        <v>25200</v>
      </c>
      <c r="L57" s="10">
        <v>114.52</v>
      </c>
      <c r="M57" s="5" t="s">
        <v>310</v>
      </c>
      <c r="N57" s="4">
        <v>77.8</v>
      </c>
      <c r="O57" s="13">
        <v>0.1</v>
      </c>
      <c r="P57" s="13">
        <v>15.9</v>
      </c>
      <c r="Q57" s="4">
        <v>9770529</v>
      </c>
    </row>
    <row r="58" spans="1:17" x14ac:dyDescent="0.3">
      <c r="A58" s="4">
        <v>59</v>
      </c>
      <c r="B58" s="4" t="s">
        <v>311</v>
      </c>
      <c r="C58" s="4" t="s">
        <v>157</v>
      </c>
      <c r="D58" s="4" t="s">
        <v>312</v>
      </c>
      <c r="E58" s="4" t="s">
        <v>313</v>
      </c>
      <c r="F58" s="4" t="s">
        <v>29</v>
      </c>
      <c r="G58" s="4" t="b">
        <v>0</v>
      </c>
      <c r="H58" s="4" t="s">
        <v>25</v>
      </c>
      <c r="I58" s="4" t="s">
        <v>315</v>
      </c>
      <c r="J58" s="4" t="s">
        <v>314</v>
      </c>
      <c r="K58" s="7">
        <v>24600</v>
      </c>
      <c r="L58" s="10">
        <v>112.85</v>
      </c>
      <c r="M58" s="5" t="s">
        <v>162</v>
      </c>
      <c r="N58" s="4">
        <v>80.900000000000006</v>
      </c>
      <c r="O58" s="13">
        <v>11.5</v>
      </c>
      <c r="P58" s="13">
        <v>48.8</v>
      </c>
      <c r="Q58" s="4">
        <v>83132799</v>
      </c>
    </row>
    <row r="59" spans="1:17" x14ac:dyDescent="0.3">
      <c r="A59" s="4">
        <v>60</v>
      </c>
      <c r="B59" s="4" t="s">
        <v>316</v>
      </c>
      <c r="C59" s="4" t="s">
        <v>31</v>
      </c>
      <c r="D59" s="4" t="s">
        <v>317</v>
      </c>
      <c r="E59" s="4" t="s">
        <v>40</v>
      </c>
      <c r="F59" s="4" t="s">
        <v>37</v>
      </c>
      <c r="G59" s="4" t="b">
        <v>0</v>
      </c>
      <c r="H59" s="4" t="s">
        <v>84</v>
      </c>
      <c r="I59" s="4" t="s">
        <v>319</v>
      </c>
      <c r="J59" s="4" t="s">
        <v>318</v>
      </c>
      <c r="K59" s="7">
        <v>24400</v>
      </c>
      <c r="L59" s="10">
        <v>117.24</v>
      </c>
      <c r="M59" s="5" t="s">
        <v>36</v>
      </c>
      <c r="N59" s="4">
        <v>78.5</v>
      </c>
      <c r="O59" s="13">
        <v>9.6</v>
      </c>
      <c r="P59" s="13">
        <v>36.6</v>
      </c>
      <c r="Q59" s="4">
        <v>328239523</v>
      </c>
    </row>
    <row r="60" spans="1:17" x14ac:dyDescent="0.3">
      <c r="A60" s="4">
        <v>61</v>
      </c>
      <c r="B60" s="4" t="s">
        <v>320</v>
      </c>
      <c r="C60" s="4" t="s">
        <v>293</v>
      </c>
      <c r="D60" s="4" t="s">
        <v>321</v>
      </c>
      <c r="E60" s="4" t="s">
        <v>322</v>
      </c>
      <c r="F60" s="4" t="s">
        <v>48</v>
      </c>
      <c r="G60" s="4" t="b">
        <v>0</v>
      </c>
      <c r="H60" s="4" t="s">
        <v>25</v>
      </c>
      <c r="I60" s="4" t="s">
        <v>324</v>
      </c>
      <c r="J60" s="4" t="s">
        <v>323</v>
      </c>
      <c r="K60" s="7">
        <v>24200</v>
      </c>
      <c r="L60" s="10">
        <v>151.18</v>
      </c>
      <c r="M60" s="5" t="s">
        <v>298</v>
      </c>
      <c r="N60" s="4">
        <v>71.5</v>
      </c>
      <c r="O60" s="13">
        <v>10.199999999999999</v>
      </c>
      <c r="P60" s="13">
        <v>30.1</v>
      </c>
      <c r="Q60" s="4">
        <v>270203917</v>
      </c>
    </row>
    <row r="61" spans="1:17" x14ac:dyDescent="0.3">
      <c r="A61" s="4">
        <v>62</v>
      </c>
      <c r="B61" s="4" t="s">
        <v>325</v>
      </c>
      <c r="C61" s="4" t="s">
        <v>326</v>
      </c>
      <c r="D61" s="4" t="s">
        <v>327</v>
      </c>
      <c r="E61" s="4" t="s">
        <v>328</v>
      </c>
      <c r="F61" s="4" t="s">
        <v>271</v>
      </c>
      <c r="G61" s="4" t="b">
        <v>1</v>
      </c>
      <c r="H61" s="4" t="s">
        <v>25</v>
      </c>
      <c r="I61" s="4" t="s">
        <v>330</v>
      </c>
      <c r="J61" s="4" t="s">
        <v>329</v>
      </c>
      <c r="K61" s="7">
        <v>23700</v>
      </c>
      <c r="L61" s="10">
        <v>180.75</v>
      </c>
      <c r="M61" s="5" t="s">
        <v>331</v>
      </c>
      <c r="N61" s="4">
        <v>72.7</v>
      </c>
      <c r="O61" s="13">
        <v>11.4</v>
      </c>
      <c r="P61" s="13">
        <v>46.2</v>
      </c>
      <c r="Q61" s="4">
        <v>144373535</v>
      </c>
    </row>
    <row r="62" spans="1:17" x14ac:dyDescent="0.3">
      <c r="A62" s="4">
        <v>63</v>
      </c>
      <c r="B62" s="4" t="s">
        <v>332</v>
      </c>
      <c r="C62" s="4" t="s">
        <v>104</v>
      </c>
      <c r="D62" s="4" t="s">
        <v>105</v>
      </c>
      <c r="E62" s="4" t="s">
        <v>246</v>
      </c>
      <c r="F62" s="4" t="s">
        <v>37</v>
      </c>
      <c r="G62" s="4" t="b">
        <v>1</v>
      </c>
      <c r="H62" s="4" t="s">
        <v>25</v>
      </c>
      <c r="I62" s="4" t="s">
        <v>333</v>
      </c>
      <c r="J62" s="4" t="s">
        <v>193</v>
      </c>
      <c r="K62" s="7">
        <v>23500</v>
      </c>
      <c r="L62" s="10">
        <v>125.08</v>
      </c>
      <c r="M62" s="5" t="s">
        <v>109</v>
      </c>
      <c r="N62" s="4">
        <v>77</v>
      </c>
      <c r="O62" s="13">
        <v>9.4</v>
      </c>
      <c r="P62" s="13">
        <v>59.2</v>
      </c>
      <c r="Q62" s="4">
        <v>1397715000</v>
      </c>
    </row>
    <row r="63" spans="1:17" x14ac:dyDescent="0.3">
      <c r="A63" s="4">
        <v>64</v>
      </c>
      <c r="B63" s="4" t="s">
        <v>334</v>
      </c>
      <c r="C63" s="4" t="s">
        <v>104</v>
      </c>
      <c r="D63" s="4" t="s">
        <v>335</v>
      </c>
      <c r="E63" s="4" t="s">
        <v>336</v>
      </c>
      <c r="F63" s="4" t="s">
        <v>249</v>
      </c>
      <c r="G63" s="4" t="b">
        <v>1</v>
      </c>
      <c r="H63" s="4" t="s">
        <v>25</v>
      </c>
      <c r="I63" s="4" t="s">
        <v>338</v>
      </c>
      <c r="J63" s="4" t="s">
        <v>337</v>
      </c>
      <c r="K63" s="7">
        <v>23400</v>
      </c>
      <c r="L63" s="10">
        <v>125.08</v>
      </c>
      <c r="M63" s="5" t="s">
        <v>109</v>
      </c>
      <c r="N63" s="4">
        <v>77</v>
      </c>
      <c r="O63" s="13">
        <v>9.4</v>
      </c>
      <c r="P63" s="13">
        <v>59.2</v>
      </c>
      <c r="Q63" s="4">
        <v>1397715000</v>
      </c>
    </row>
    <row r="64" spans="1:17" x14ac:dyDescent="0.3">
      <c r="A64" s="4">
        <v>65</v>
      </c>
      <c r="B64" s="4" t="s">
        <v>339</v>
      </c>
      <c r="C64" s="4" t="s">
        <v>340</v>
      </c>
      <c r="D64" s="4" t="s">
        <v>341</v>
      </c>
      <c r="E64" s="4" t="s">
        <v>275</v>
      </c>
      <c r="F64" s="4" t="s">
        <v>271</v>
      </c>
      <c r="G64" s="4" t="b">
        <v>0</v>
      </c>
      <c r="H64" s="4" t="s">
        <v>84</v>
      </c>
      <c r="I64" s="4" t="s">
        <v>343</v>
      </c>
      <c r="J64" s="4" t="s">
        <v>342</v>
      </c>
      <c r="K64" s="7">
        <v>23100</v>
      </c>
      <c r="L64" s="10">
        <v>131.91</v>
      </c>
      <c r="M64" s="5" t="s">
        <v>344</v>
      </c>
      <c r="N64" s="4">
        <v>80</v>
      </c>
      <c r="O64" s="13">
        <v>18.2</v>
      </c>
      <c r="P64" s="13">
        <v>34</v>
      </c>
      <c r="Q64" s="4">
        <v>18952038</v>
      </c>
    </row>
    <row r="65" spans="1:17" x14ac:dyDescent="0.3">
      <c r="A65" s="4">
        <v>65</v>
      </c>
      <c r="B65" s="4" t="s">
        <v>345</v>
      </c>
      <c r="C65" s="4" t="s">
        <v>293</v>
      </c>
      <c r="D65" s="4" t="s">
        <v>321</v>
      </c>
      <c r="E65" s="4" t="s">
        <v>322</v>
      </c>
      <c r="F65" s="4" t="s">
        <v>249</v>
      </c>
      <c r="G65" s="4" t="b">
        <v>0</v>
      </c>
      <c r="H65" s="4" t="s">
        <v>25</v>
      </c>
      <c r="I65" s="4" t="s">
        <v>63</v>
      </c>
      <c r="J65" s="4" t="s">
        <v>323</v>
      </c>
      <c r="K65" s="7">
        <v>23100</v>
      </c>
      <c r="L65" s="10">
        <v>151.18</v>
      </c>
      <c r="M65" s="5" t="s">
        <v>298</v>
      </c>
      <c r="N65" s="4">
        <v>71.5</v>
      </c>
      <c r="O65" s="13">
        <v>10.199999999999999</v>
      </c>
      <c r="P65" s="13">
        <v>30.1</v>
      </c>
      <c r="Q65" s="4">
        <v>270203917</v>
      </c>
    </row>
    <row r="66" spans="1:17" x14ac:dyDescent="0.3">
      <c r="A66" s="4">
        <v>67</v>
      </c>
      <c r="B66" s="4" t="s">
        <v>346</v>
      </c>
      <c r="C66" s="4" t="s">
        <v>225</v>
      </c>
      <c r="D66" s="4" t="s">
        <v>226</v>
      </c>
      <c r="E66" s="4" t="s">
        <v>347</v>
      </c>
      <c r="F66" s="4" t="s">
        <v>249</v>
      </c>
      <c r="G66" s="4" t="b">
        <v>1</v>
      </c>
      <c r="H66" s="4" t="s">
        <v>25</v>
      </c>
      <c r="I66" s="4" t="s">
        <v>349</v>
      </c>
      <c r="J66" s="4" t="s">
        <v>348</v>
      </c>
      <c r="K66" s="7">
        <v>22900</v>
      </c>
      <c r="L66" s="10">
        <v>119.62</v>
      </c>
      <c r="M66" s="5" t="s">
        <v>230</v>
      </c>
      <c r="N66" s="4">
        <v>81.3</v>
      </c>
      <c r="O66" s="13">
        <v>25.5</v>
      </c>
      <c r="P66" s="13">
        <v>30.6</v>
      </c>
      <c r="Q66" s="4">
        <v>66834405</v>
      </c>
    </row>
    <row r="67" spans="1:17" x14ac:dyDescent="0.3">
      <c r="A67" s="4">
        <v>68</v>
      </c>
      <c r="B67" s="4" t="s">
        <v>351</v>
      </c>
      <c r="C67" s="4" t="s">
        <v>73</v>
      </c>
      <c r="D67" s="4" t="s">
        <v>352</v>
      </c>
      <c r="E67" s="4" t="s">
        <v>353</v>
      </c>
      <c r="F67" s="4" t="s">
        <v>350</v>
      </c>
      <c r="G67" s="4" t="b">
        <v>0</v>
      </c>
      <c r="H67" s="4" t="s">
        <v>25</v>
      </c>
      <c r="I67" s="4" t="s">
        <v>355</v>
      </c>
      <c r="J67" s="4" t="s">
        <v>354</v>
      </c>
      <c r="K67" s="7">
        <v>22600</v>
      </c>
      <c r="L67" s="10">
        <v>180.44</v>
      </c>
      <c r="M67" s="5" t="s">
        <v>77</v>
      </c>
      <c r="N67" s="4">
        <v>69.400000000000006</v>
      </c>
      <c r="O67" s="13">
        <v>11.2</v>
      </c>
      <c r="P67" s="13">
        <v>49.7</v>
      </c>
      <c r="Q67" s="4">
        <v>1366417754</v>
      </c>
    </row>
    <row r="68" spans="1:17" x14ac:dyDescent="0.3">
      <c r="A68" s="4">
        <v>69</v>
      </c>
      <c r="B68" s="4" t="s">
        <v>356</v>
      </c>
      <c r="C68" s="4" t="s">
        <v>218</v>
      </c>
      <c r="D68" s="4" t="s">
        <v>219</v>
      </c>
      <c r="E68" s="4" t="s">
        <v>357</v>
      </c>
      <c r="F68" s="4" t="s">
        <v>64</v>
      </c>
      <c r="G68" s="4" t="b">
        <v>1</v>
      </c>
      <c r="H68" s="4" t="s">
        <v>25</v>
      </c>
      <c r="I68" s="4" t="s">
        <v>359</v>
      </c>
      <c r="J68" s="4" t="s">
        <v>358</v>
      </c>
      <c r="K68" s="7">
        <v>22400</v>
      </c>
      <c r="L68" s="10">
        <v>105.48</v>
      </c>
      <c r="M68" s="5" t="s">
        <v>223</v>
      </c>
      <c r="N68" s="4">
        <v>84.2</v>
      </c>
      <c r="O68" s="13">
        <v>11.9</v>
      </c>
      <c r="P68" s="13">
        <v>46.7</v>
      </c>
      <c r="Q68" s="4">
        <v>126226568</v>
      </c>
    </row>
    <row r="69" spans="1:17" x14ac:dyDescent="0.3">
      <c r="A69" s="4">
        <v>70</v>
      </c>
      <c r="B69" s="4" t="s">
        <v>360</v>
      </c>
      <c r="C69" s="4" t="s">
        <v>326</v>
      </c>
      <c r="D69" s="4" t="s">
        <v>327</v>
      </c>
      <c r="E69" s="4" t="s">
        <v>361</v>
      </c>
      <c r="F69" s="4" t="s">
        <v>271</v>
      </c>
      <c r="G69" s="4" t="b">
        <v>1</v>
      </c>
      <c r="H69" s="4" t="s">
        <v>25</v>
      </c>
      <c r="I69" s="4" t="s">
        <v>330</v>
      </c>
      <c r="J69" s="4" t="s">
        <v>362</v>
      </c>
      <c r="K69" s="7">
        <v>22100</v>
      </c>
      <c r="L69" s="10">
        <v>180.75</v>
      </c>
      <c r="M69" s="5" t="s">
        <v>331</v>
      </c>
      <c r="N69" s="4">
        <v>72.7</v>
      </c>
      <c r="O69" s="13">
        <v>11.4</v>
      </c>
      <c r="P69" s="13">
        <v>46.2</v>
      </c>
      <c r="Q69" s="4">
        <v>144373535</v>
      </c>
    </row>
    <row r="70" spans="1:17" x14ac:dyDescent="0.3">
      <c r="A70" s="4">
        <v>71</v>
      </c>
      <c r="B70" s="4" t="s">
        <v>363</v>
      </c>
      <c r="C70" s="4" t="s">
        <v>22</v>
      </c>
      <c r="D70" s="4" t="s">
        <v>364</v>
      </c>
      <c r="E70" s="4" t="s">
        <v>365</v>
      </c>
      <c r="F70" s="4" t="s">
        <v>102</v>
      </c>
      <c r="G70" s="4" t="b">
        <v>0</v>
      </c>
      <c r="H70" s="4" t="s">
        <v>25</v>
      </c>
      <c r="I70" s="4" t="s">
        <v>367</v>
      </c>
      <c r="J70" s="4" t="s">
        <v>366</v>
      </c>
      <c r="K70" s="7">
        <v>22000</v>
      </c>
      <c r="L70" s="10">
        <v>110.05</v>
      </c>
      <c r="M70" s="5" t="s">
        <v>28</v>
      </c>
      <c r="N70" s="4">
        <v>82.5</v>
      </c>
      <c r="O70" s="13">
        <v>24.2</v>
      </c>
      <c r="P70" s="13">
        <v>60.7</v>
      </c>
      <c r="Q70" s="4">
        <v>67059887</v>
      </c>
    </row>
    <row r="71" spans="1:17" x14ac:dyDescent="0.3">
      <c r="A71" s="4">
        <v>72</v>
      </c>
      <c r="B71" s="4" t="s">
        <v>368</v>
      </c>
      <c r="C71" s="4" t="s">
        <v>31</v>
      </c>
      <c r="D71" s="4" t="s">
        <v>369</v>
      </c>
      <c r="E71" s="4" t="s">
        <v>370</v>
      </c>
      <c r="F71" s="4" t="s">
        <v>48</v>
      </c>
      <c r="G71" s="4" t="b">
        <v>0</v>
      </c>
      <c r="H71" s="4" t="s">
        <v>84</v>
      </c>
      <c r="I71" s="4" t="s">
        <v>372</v>
      </c>
      <c r="J71" s="4" t="s">
        <v>371</v>
      </c>
      <c r="K71" s="7">
        <v>21600</v>
      </c>
      <c r="L71" s="10">
        <v>117.24</v>
      </c>
      <c r="M71" s="5" t="s">
        <v>36</v>
      </c>
      <c r="N71" s="4">
        <v>78.5</v>
      </c>
      <c r="O71" s="13">
        <v>9.6</v>
      </c>
      <c r="P71" s="13">
        <v>36.6</v>
      </c>
      <c r="Q71" s="4">
        <v>328239523</v>
      </c>
    </row>
    <row r="72" spans="1:17" x14ac:dyDescent="0.3">
      <c r="A72" s="4">
        <v>72</v>
      </c>
      <c r="B72" s="4" t="s">
        <v>373</v>
      </c>
      <c r="C72" s="4" t="s">
        <v>326</v>
      </c>
      <c r="D72" s="4" t="s">
        <v>327</v>
      </c>
      <c r="E72" s="4" t="s">
        <v>374</v>
      </c>
      <c r="F72" s="4" t="s">
        <v>291</v>
      </c>
      <c r="G72" s="4" t="b">
        <v>1</v>
      </c>
      <c r="H72" s="4" t="s">
        <v>25</v>
      </c>
      <c r="I72" s="4" t="s">
        <v>376</v>
      </c>
      <c r="J72" s="4" t="s">
        <v>375</v>
      </c>
      <c r="K72" s="7">
        <v>21600</v>
      </c>
      <c r="L72" s="10">
        <v>180.75</v>
      </c>
      <c r="M72" s="5" t="s">
        <v>331</v>
      </c>
      <c r="N72" s="4">
        <v>72.7</v>
      </c>
      <c r="O72" s="13">
        <v>11.4</v>
      </c>
      <c r="P72" s="13">
        <v>46.2</v>
      </c>
      <c r="Q72" s="4">
        <v>144373535</v>
      </c>
    </row>
    <row r="73" spans="1:17" x14ac:dyDescent="0.3">
      <c r="A73" s="4">
        <v>74</v>
      </c>
      <c r="B73" s="4" t="s">
        <v>377</v>
      </c>
      <c r="C73" s="4" t="s">
        <v>31</v>
      </c>
      <c r="D73" s="4" t="s">
        <v>378</v>
      </c>
      <c r="E73" s="4" t="s">
        <v>123</v>
      </c>
      <c r="F73" s="4" t="s">
        <v>20</v>
      </c>
      <c r="G73" s="4" t="b">
        <v>0</v>
      </c>
      <c r="H73" s="4" t="s">
        <v>25</v>
      </c>
      <c r="I73" s="4" t="s">
        <v>379</v>
      </c>
      <c r="J73" s="4" t="s">
        <v>124</v>
      </c>
      <c r="K73" s="7">
        <v>21200</v>
      </c>
      <c r="L73" s="10">
        <v>117.24</v>
      </c>
      <c r="M73" s="5" t="s">
        <v>36</v>
      </c>
      <c r="N73" s="4">
        <v>78.5</v>
      </c>
      <c r="O73" s="13">
        <v>9.6</v>
      </c>
      <c r="P73" s="13">
        <v>36.6</v>
      </c>
      <c r="Q73" s="4">
        <v>328239523</v>
      </c>
    </row>
    <row r="74" spans="1:17" x14ac:dyDescent="0.3">
      <c r="A74" s="4">
        <v>74</v>
      </c>
      <c r="B74" s="4" t="s">
        <v>381</v>
      </c>
      <c r="C74" s="4" t="s">
        <v>104</v>
      </c>
      <c r="D74" s="4" t="s">
        <v>191</v>
      </c>
      <c r="E74" s="4" t="s">
        <v>382</v>
      </c>
      <c r="F74" s="4" t="s">
        <v>380</v>
      </c>
      <c r="G74" s="4" t="b">
        <v>1</v>
      </c>
      <c r="H74" s="4" t="s">
        <v>25</v>
      </c>
      <c r="I74" s="4" t="s">
        <v>384</v>
      </c>
      <c r="J74" s="4" t="s">
        <v>383</v>
      </c>
      <c r="K74" s="7">
        <v>21200</v>
      </c>
      <c r="L74" s="10">
        <v>125.08</v>
      </c>
      <c r="M74" s="5" t="s">
        <v>109</v>
      </c>
      <c r="N74" s="4">
        <v>77</v>
      </c>
      <c r="O74" s="13">
        <v>9.4</v>
      </c>
      <c r="P74" s="13">
        <v>59.2</v>
      </c>
      <c r="Q74" s="4">
        <v>1397715000</v>
      </c>
    </row>
    <row r="75" spans="1:17" x14ac:dyDescent="0.3">
      <c r="A75" s="4">
        <v>76</v>
      </c>
      <c r="B75" s="4" t="s">
        <v>385</v>
      </c>
      <c r="C75" s="4" t="s">
        <v>31</v>
      </c>
      <c r="D75" s="4" t="s">
        <v>99</v>
      </c>
      <c r="E75" s="4" t="s">
        <v>386</v>
      </c>
      <c r="F75" s="4" t="s">
        <v>37</v>
      </c>
      <c r="G75" s="4" t="b">
        <v>1</v>
      </c>
      <c r="H75" s="4" t="s">
        <v>25</v>
      </c>
      <c r="I75" s="4" t="s">
        <v>387</v>
      </c>
      <c r="J75" s="4" t="s">
        <v>247</v>
      </c>
      <c r="K75" s="7">
        <v>21100</v>
      </c>
      <c r="L75" s="10">
        <v>117.24</v>
      </c>
      <c r="M75" s="5" t="s">
        <v>36</v>
      </c>
      <c r="N75" s="4">
        <v>78.5</v>
      </c>
      <c r="O75" s="13">
        <v>9.6</v>
      </c>
      <c r="P75" s="13">
        <v>36.6</v>
      </c>
      <c r="Q75" s="4">
        <v>328239523</v>
      </c>
    </row>
    <row r="76" spans="1:17" x14ac:dyDescent="0.3">
      <c r="A76" s="4">
        <v>77</v>
      </c>
      <c r="B76" s="4" t="s">
        <v>388</v>
      </c>
      <c r="C76" s="4" t="s">
        <v>31</v>
      </c>
      <c r="D76" s="4" t="s">
        <v>60</v>
      </c>
      <c r="E76" s="4" t="s">
        <v>389</v>
      </c>
      <c r="F76" s="4" t="s">
        <v>20</v>
      </c>
      <c r="G76" s="4" t="b">
        <v>0</v>
      </c>
      <c r="H76" s="4" t="s">
        <v>25</v>
      </c>
      <c r="I76" s="4" t="s">
        <v>391</v>
      </c>
      <c r="J76" s="4" t="s">
        <v>390</v>
      </c>
      <c r="K76" s="7">
        <v>21000</v>
      </c>
      <c r="L76" s="10">
        <v>117.24</v>
      </c>
      <c r="M76" s="5" t="s">
        <v>36</v>
      </c>
      <c r="N76" s="4">
        <v>78.5</v>
      </c>
      <c r="O76" s="13">
        <v>9.6</v>
      </c>
      <c r="P76" s="13">
        <v>36.6</v>
      </c>
      <c r="Q76" s="4">
        <v>328239523</v>
      </c>
    </row>
    <row r="77" spans="1:17" x14ac:dyDescent="0.3">
      <c r="A77" s="4">
        <v>77</v>
      </c>
      <c r="B77" s="4" t="s">
        <v>392</v>
      </c>
      <c r="C77" s="4" t="s">
        <v>218</v>
      </c>
      <c r="D77" s="4" t="s">
        <v>393</v>
      </c>
      <c r="E77" s="4" t="s">
        <v>394</v>
      </c>
      <c r="F77" s="4" t="s">
        <v>249</v>
      </c>
      <c r="G77" s="4" t="b">
        <v>1</v>
      </c>
      <c r="H77" s="4" t="s">
        <v>25</v>
      </c>
      <c r="I77" s="4" t="s">
        <v>396</v>
      </c>
      <c r="J77" s="4" t="s">
        <v>395</v>
      </c>
      <c r="K77" s="7">
        <v>21000</v>
      </c>
      <c r="L77" s="10">
        <v>105.48</v>
      </c>
      <c r="M77" s="5" t="s">
        <v>223</v>
      </c>
      <c r="N77" s="4">
        <v>84.2</v>
      </c>
      <c r="O77" s="13">
        <v>11.9</v>
      </c>
      <c r="P77" s="13">
        <v>46.7</v>
      </c>
      <c r="Q77" s="4">
        <v>126226568</v>
      </c>
    </row>
    <row r="78" spans="1:17" x14ac:dyDescent="0.3">
      <c r="A78" s="4">
        <v>79</v>
      </c>
      <c r="B78" s="4" t="s">
        <v>397</v>
      </c>
      <c r="C78" s="4" t="s">
        <v>326</v>
      </c>
      <c r="D78" s="4" t="s">
        <v>327</v>
      </c>
      <c r="E78" s="4" t="s">
        <v>398</v>
      </c>
      <c r="F78" s="4" t="s">
        <v>271</v>
      </c>
      <c r="G78" s="4" t="b">
        <v>1</v>
      </c>
      <c r="H78" s="4" t="s">
        <v>25</v>
      </c>
      <c r="I78" s="4" t="s">
        <v>400</v>
      </c>
      <c r="J78" s="4" t="s">
        <v>399</v>
      </c>
      <c r="K78" s="7">
        <v>20900</v>
      </c>
      <c r="L78" s="10">
        <v>180.75</v>
      </c>
      <c r="M78" s="5" t="s">
        <v>331</v>
      </c>
      <c r="N78" s="4">
        <v>72.7</v>
      </c>
      <c r="O78" s="13">
        <v>11.4</v>
      </c>
      <c r="P78" s="13">
        <v>46.2</v>
      </c>
      <c r="Q78" s="4">
        <v>144373535</v>
      </c>
    </row>
    <row r="79" spans="1:17" x14ac:dyDescent="0.3">
      <c r="A79" s="4">
        <v>80</v>
      </c>
      <c r="B79" s="4" t="s">
        <v>401</v>
      </c>
      <c r="C79" s="4" t="s">
        <v>326</v>
      </c>
      <c r="D79" s="4" t="s">
        <v>327</v>
      </c>
      <c r="E79" s="4" t="s">
        <v>402</v>
      </c>
      <c r="F79" s="4" t="s">
        <v>291</v>
      </c>
      <c r="G79" s="4" t="b">
        <v>1</v>
      </c>
      <c r="H79" s="4" t="s">
        <v>25</v>
      </c>
      <c r="I79" s="4" t="s">
        <v>404</v>
      </c>
      <c r="J79" s="4" t="s">
        <v>403</v>
      </c>
      <c r="K79" s="7">
        <v>20500</v>
      </c>
      <c r="L79" s="10">
        <v>180.75</v>
      </c>
      <c r="M79" s="5" t="s">
        <v>331</v>
      </c>
      <c r="N79" s="4">
        <v>72.7</v>
      </c>
      <c r="O79" s="13">
        <v>11.4</v>
      </c>
      <c r="P79" s="13">
        <v>46.2</v>
      </c>
      <c r="Q79" s="4">
        <v>144373535</v>
      </c>
    </row>
    <row r="80" spans="1:17" x14ac:dyDescent="0.3">
      <c r="A80" s="4">
        <v>81</v>
      </c>
      <c r="B80" s="4" t="s">
        <v>405</v>
      </c>
      <c r="C80" s="4" t="s">
        <v>31</v>
      </c>
      <c r="D80" s="4" t="s">
        <v>406</v>
      </c>
      <c r="E80" s="4" t="s">
        <v>407</v>
      </c>
      <c r="F80" s="4" t="s">
        <v>350</v>
      </c>
      <c r="G80" s="4" t="b">
        <v>1</v>
      </c>
      <c r="H80" s="4" t="s">
        <v>25</v>
      </c>
      <c r="I80" s="4" t="s">
        <v>303</v>
      </c>
      <c r="J80" s="4" t="s">
        <v>408</v>
      </c>
      <c r="K80" s="7">
        <v>20200</v>
      </c>
      <c r="L80" s="10">
        <v>117.24</v>
      </c>
      <c r="M80" s="5" t="s">
        <v>36</v>
      </c>
      <c r="N80" s="4">
        <v>78.5</v>
      </c>
      <c r="O80" s="13">
        <v>9.6</v>
      </c>
      <c r="P80" s="13">
        <v>36.6</v>
      </c>
      <c r="Q80" s="4">
        <v>328239523</v>
      </c>
    </row>
    <row r="81" spans="1:17" x14ac:dyDescent="0.3">
      <c r="A81" s="4">
        <v>82</v>
      </c>
      <c r="B81" s="4" t="s">
        <v>409</v>
      </c>
      <c r="C81" s="4" t="s">
        <v>273</v>
      </c>
      <c r="D81" s="4" t="s">
        <v>274</v>
      </c>
      <c r="E81" s="4" t="s">
        <v>275</v>
      </c>
      <c r="F81" s="4" t="s">
        <v>271</v>
      </c>
      <c r="G81" s="4" t="b">
        <v>1</v>
      </c>
      <c r="H81" s="4" t="s">
        <v>25</v>
      </c>
      <c r="I81" s="4" t="s">
        <v>411</v>
      </c>
      <c r="J81" s="4" t="s">
        <v>410</v>
      </c>
      <c r="K81" s="7">
        <v>19600</v>
      </c>
      <c r="L81" s="10">
        <v>119.8</v>
      </c>
      <c r="M81" s="5" t="s">
        <v>278</v>
      </c>
      <c r="N81" s="4">
        <v>82.7</v>
      </c>
      <c r="O81" s="13">
        <v>23</v>
      </c>
      <c r="P81" s="13">
        <v>47.4</v>
      </c>
      <c r="Q81" s="4">
        <v>25766605</v>
      </c>
    </row>
    <row r="82" spans="1:17" x14ac:dyDescent="0.3">
      <c r="A82" s="4">
        <v>83</v>
      </c>
      <c r="B82" s="4" t="s">
        <v>412</v>
      </c>
      <c r="C82" s="4" t="s">
        <v>31</v>
      </c>
      <c r="D82" s="4" t="s">
        <v>413</v>
      </c>
      <c r="E82" s="4" t="s">
        <v>203</v>
      </c>
      <c r="F82" s="4" t="s">
        <v>48</v>
      </c>
      <c r="G82" s="4" t="b">
        <v>1</v>
      </c>
      <c r="H82" s="4" t="s">
        <v>25</v>
      </c>
      <c r="I82" s="4" t="s">
        <v>415</v>
      </c>
      <c r="J82" s="4" t="s">
        <v>414</v>
      </c>
      <c r="K82" s="7">
        <v>19100</v>
      </c>
      <c r="L82" s="10">
        <v>117.24</v>
      </c>
      <c r="M82" s="5" t="s">
        <v>36</v>
      </c>
      <c r="N82" s="4">
        <v>78.5</v>
      </c>
      <c r="O82" s="13">
        <v>9.6</v>
      </c>
      <c r="P82" s="13">
        <v>36.6</v>
      </c>
      <c r="Q82" s="4">
        <v>328239523</v>
      </c>
    </row>
    <row r="83" spans="1:17" x14ac:dyDescent="0.3">
      <c r="A83" s="4">
        <v>84</v>
      </c>
      <c r="B83" s="4" t="s">
        <v>416</v>
      </c>
      <c r="C83" s="4" t="s">
        <v>104</v>
      </c>
      <c r="D83" s="4" t="s">
        <v>105</v>
      </c>
      <c r="E83" s="4" t="s">
        <v>417</v>
      </c>
      <c r="F83" s="4" t="s">
        <v>29</v>
      </c>
      <c r="G83" s="4" t="b">
        <v>1</v>
      </c>
      <c r="H83" s="4" t="s">
        <v>25</v>
      </c>
      <c r="I83" s="4" t="s">
        <v>419</v>
      </c>
      <c r="J83" s="4" t="s">
        <v>418</v>
      </c>
      <c r="K83" s="7">
        <v>19000</v>
      </c>
      <c r="L83" s="10">
        <v>125.08</v>
      </c>
      <c r="M83" s="5" t="s">
        <v>109</v>
      </c>
      <c r="N83" s="4">
        <v>77</v>
      </c>
      <c r="O83" s="13">
        <v>9.4</v>
      </c>
      <c r="P83" s="13">
        <v>59.2</v>
      </c>
      <c r="Q83" s="4">
        <v>1397715000</v>
      </c>
    </row>
    <row r="84" spans="1:17" x14ac:dyDescent="0.3">
      <c r="A84" s="4">
        <v>84</v>
      </c>
      <c r="B84" s="4" t="s">
        <v>420</v>
      </c>
      <c r="C84" s="4" t="s">
        <v>104</v>
      </c>
      <c r="D84" s="4" t="s">
        <v>191</v>
      </c>
      <c r="E84" s="4" t="s">
        <v>421</v>
      </c>
      <c r="F84" s="4" t="s">
        <v>271</v>
      </c>
      <c r="G84" s="4" t="b">
        <v>1</v>
      </c>
      <c r="H84" s="4" t="s">
        <v>25</v>
      </c>
      <c r="I84" s="4" t="s">
        <v>422</v>
      </c>
      <c r="J84" s="4" t="s">
        <v>383</v>
      </c>
      <c r="K84" s="7">
        <v>19000</v>
      </c>
      <c r="L84" s="10">
        <v>125.08</v>
      </c>
      <c r="M84" s="5" t="s">
        <v>109</v>
      </c>
      <c r="N84" s="4">
        <v>77</v>
      </c>
      <c r="O84" s="13">
        <v>9.4</v>
      </c>
      <c r="P84" s="13">
        <v>59.2</v>
      </c>
      <c r="Q84" s="4">
        <v>1397715000</v>
      </c>
    </row>
    <row r="85" spans="1:17" x14ac:dyDescent="0.3">
      <c r="A85" s="4">
        <v>86</v>
      </c>
      <c r="B85" s="4" t="s">
        <v>423</v>
      </c>
      <c r="C85" s="4" t="s">
        <v>104</v>
      </c>
      <c r="D85" s="4" t="s">
        <v>424</v>
      </c>
      <c r="E85" s="4" t="s">
        <v>425</v>
      </c>
      <c r="F85" s="4" t="s">
        <v>102</v>
      </c>
      <c r="G85" s="4" t="b">
        <v>1</v>
      </c>
      <c r="H85" s="4" t="s">
        <v>25</v>
      </c>
      <c r="I85" s="4" t="s">
        <v>427</v>
      </c>
      <c r="J85" s="4" t="s">
        <v>426</v>
      </c>
      <c r="K85" s="7">
        <v>18900</v>
      </c>
      <c r="L85" s="10">
        <v>125.08</v>
      </c>
      <c r="M85" s="5" t="s">
        <v>109</v>
      </c>
      <c r="N85" s="4">
        <v>77</v>
      </c>
      <c r="O85" s="13">
        <v>9.4</v>
      </c>
      <c r="P85" s="13">
        <v>59.2</v>
      </c>
      <c r="Q85" s="4">
        <v>1397715000</v>
      </c>
    </row>
    <row r="86" spans="1:17" x14ac:dyDescent="0.3">
      <c r="A86" s="4">
        <v>88</v>
      </c>
      <c r="B86" s="4" t="s">
        <v>428</v>
      </c>
      <c r="C86" s="4" t="s">
        <v>104</v>
      </c>
      <c r="D86" s="4" t="s">
        <v>191</v>
      </c>
      <c r="E86" s="4" t="s">
        <v>429</v>
      </c>
      <c r="F86" s="4" t="s">
        <v>29</v>
      </c>
      <c r="G86" s="4" t="b">
        <v>1</v>
      </c>
      <c r="H86" s="4" t="s">
        <v>25</v>
      </c>
      <c r="I86" s="4" t="s">
        <v>430</v>
      </c>
      <c r="J86" s="4" t="s">
        <v>383</v>
      </c>
      <c r="K86" s="7">
        <v>18700</v>
      </c>
      <c r="L86" s="10">
        <v>125.08</v>
      </c>
      <c r="M86" s="5" t="s">
        <v>109</v>
      </c>
      <c r="N86" s="4">
        <v>77</v>
      </c>
      <c r="O86" s="13">
        <v>9.4</v>
      </c>
      <c r="P86" s="13">
        <v>59.2</v>
      </c>
      <c r="Q86" s="4">
        <v>1397715000</v>
      </c>
    </row>
    <row r="87" spans="1:17" x14ac:dyDescent="0.3">
      <c r="A87" s="4">
        <v>89</v>
      </c>
      <c r="B87" s="4" t="s">
        <v>431</v>
      </c>
      <c r="C87" s="4" t="s">
        <v>31</v>
      </c>
      <c r="D87" s="4" t="s">
        <v>432</v>
      </c>
      <c r="E87" s="4" t="s">
        <v>433</v>
      </c>
      <c r="F87" s="4" t="s">
        <v>291</v>
      </c>
      <c r="G87" s="4" t="b">
        <v>1</v>
      </c>
      <c r="H87" s="4" t="s">
        <v>25</v>
      </c>
      <c r="I87" s="4" t="s">
        <v>435</v>
      </c>
      <c r="J87" s="4" t="s">
        <v>434</v>
      </c>
      <c r="K87" s="7">
        <v>18500</v>
      </c>
      <c r="L87" s="10">
        <v>117.24</v>
      </c>
      <c r="M87" s="5" t="s">
        <v>36</v>
      </c>
      <c r="N87" s="4">
        <v>78.5</v>
      </c>
      <c r="O87" s="13">
        <v>9.6</v>
      </c>
      <c r="P87" s="13">
        <v>36.6</v>
      </c>
      <c r="Q87" s="4">
        <v>328239523</v>
      </c>
    </row>
    <row r="88" spans="1:17" x14ac:dyDescent="0.3">
      <c r="A88" s="4">
        <v>89</v>
      </c>
      <c r="B88" s="4" t="s">
        <v>436</v>
      </c>
      <c r="C88" s="4" t="s">
        <v>31</v>
      </c>
      <c r="D88" s="4" t="s">
        <v>300</v>
      </c>
      <c r="E88" s="4" t="s">
        <v>203</v>
      </c>
      <c r="F88" s="4" t="s">
        <v>48</v>
      </c>
      <c r="G88" s="4" t="b">
        <v>1</v>
      </c>
      <c r="H88" s="4" t="s">
        <v>25</v>
      </c>
      <c r="I88" s="4" t="s">
        <v>136</v>
      </c>
      <c r="J88" s="4" t="s">
        <v>437</v>
      </c>
      <c r="K88" s="7">
        <v>18500</v>
      </c>
      <c r="L88" s="10">
        <v>117.24</v>
      </c>
      <c r="M88" s="5" t="s">
        <v>36</v>
      </c>
      <c r="N88" s="4">
        <v>78.5</v>
      </c>
      <c r="O88" s="13">
        <v>9.6</v>
      </c>
      <c r="P88" s="13">
        <v>36.6</v>
      </c>
      <c r="Q88" s="4">
        <v>328239523</v>
      </c>
    </row>
    <row r="89" spans="1:17" x14ac:dyDescent="0.3">
      <c r="A89" s="4">
        <v>89</v>
      </c>
      <c r="B89" s="4" t="s">
        <v>438</v>
      </c>
      <c r="C89" s="4" t="s">
        <v>326</v>
      </c>
      <c r="D89" s="4" t="s">
        <v>327</v>
      </c>
      <c r="E89" s="4" t="s">
        <v>439</v>
      </c>
      <c r="F89" s="4" t="s">
        <v>291</v>
      </c>
      <c r="G89" s="4" t="b">
        <v>1</v>
      </c>
      <c r="H89" s="4" t="s">
        <v>25</v>
      </c>
      <c r="I89" s="4" t="s">
        <v>441</v>
      </c>
      <c r="J89" s="4" t="s">
        <v>440</v>
      </c>
      <c r="K89" s="7">
        <v>18500</v>
      </c>
      <c r="L89" s="10">
        <v>180.75</v>
      </c>
      <c r="M89" s="5" t="s">
        <v>331</v>
      </c>
      <c r="N89" s="4">
        <v>72.7</v>
      </c>
      <c r="O89" s="13">
        <v>11.4</v>
      </c>
      <c r="P89" s="13">
        <v>46.2</v>
      </c>
      <c r="Q89" s="4">
        <v>144373535</v>
      </c>
    </row>
    <row r="90" spans="1:17" x14ac:dyDescent="0.3">
      <c r="A90" s="4">
        <v>92</v>
      </c>
      <c r="B90" s="4" t="s">
        <v>442</v>
      </c>
      <c r="C90" s="4" t="s">
        <v>31</v>
      </c>
      <c r="D90" s="4" t="s">
        <v>443</v>
      </c>
      <c r="E90" s="4" t="s">
        <v>444</v>
      </c>
      <c r="F90" s="4" t="s">
        <v>48</v>
      </c>
      <c r="G90" s="4" t="b">
        <v>1</v>
      </c>
      <c r="H90" s="4" t="s">
        <v>25</v>
      </c>
      <c r="I90" s="4" t="s">
        <v>446</v>
      </c>
      <c r="J90" s="4" t="s">
        <v>445</v>
      </c>
      <c r="K90" s="7">
        <v>18000</v>
      </c>
      <c r="L90" s="10">
        <v>117.24</v>
      </c>
      <c r="M90" s="5" t="s">
        <v>36</v>
      </c>
      <c r="N90" s="4">
        <v>78.5</v>
      </c>
      <c r="O90" s="13">
        <v>9.6</v>
      </c>
      <c r="P90" s="13">
        <v>36.6</v>
      </c>
      <c r="Q90" s="4">
        <v>328239523</v>
      </c>
    </row>
    <row r="91" spans="1:17" x14ac:dyDescent="0.3">
      <c r="A91" s="4">
        <v>93</v>
      </c>
      <c r="B91" s="4" t="s">
        <v>447</v>
      </c>
      <c r="C91" s="4" t="s">
        <v>225</v>
      </c>
      <c r="D91" s="4" t="s">
        <v>226</v>
      </c>
      <c r="E91" s="4" t="s">
        <v>448</v>
      </c>
      <c r="F91" s="4" t="s">
        <v>271</v>
      </c>
      <c r="G91" s="4" t="b">
        <v>0</v>
      </c>
      <c r="H91" s="4" t="s">
        <v>25</v>
      </c>
      <c r="I91" s="4" t="s">
        <v>450</v>
      </c>
      <c r="J91" s="4" t="s">
        <v>449</v>
      </c>
      <c r="K91" s="7">
        <v>17700</v>
      </c>
      <c r="L91" s="10">
        <v>119.62</v>
      </c>
      <c r="M91" s="5" t="s">
        <v>230</v>
      </c>
      <c r="N91" s="4">
        <v>81.3</v>
      </c>
      <c r="O91" s="13">
        <v>25.5</v>
      </c>
      <c r="P91" s="13">
        <v>30.6</v>
      </c>
      <c r="Q91" s="4">
        <v>66834405</v>
      </c>
    </row>
    <row r="92" spans="1:17" x14ac:dyDescent="0.3">
      <c r="A92" s="4">
        <v>94</v>
      </c>
      <c r="B92" s="4" t="s">
        <v>451</v>
      </c>
      <c r="C92" s="4" t="s">
        <v>31</v>
      </c>
      <c r="D92" s="4" t="s">
        <v>413</v>
      </c>
      <c r="E92" s="4" t="s">
        <v>203</v>
      </c>
      <c r="F92" s="4" t="s">
        <v>48</v>
      </c>
      <c r="G92" s="4" t="b">
        <v>1</v>
      </c>
      <c r="H92" s="4" t="s">
        <v>25</v>
      </c>
      <c r="I92" s="4" t="s">
        <v>81</v>
      </c>
      <c r="J92" s="4" t="s">
        <v>452</v>
      </c>
      <c r="K92" s="7">
        <v>17500</v>
      </c>
      <c r="L92" s="10">
        <v>117.24</v>
      </c>
      <c r="M92" s="5" t="s">
        <v>36</v>
      </c>
      <c r="N92" s="4">
        <v>78.5</v>
      </c>
      <c r="O92" s="13">
        <v>9.6</v>
      </c>
      <c r="P92" s="13">
        <v>36.6</v>
      </c>
      <c r="Q92" s="4">
        <v>328239523</v>
      </c>
    </row>
    <row r="93" spans="1:17" x14ac:dyDescent="0.3">
      <c r="A93" s="4">
        <v>94</v>
      </c>
      <c r="B93" s="4" t="s">
        <v>453</v>
      </c>
      <c r="C93" s="4" t="s">
        <v>31</v>
      </c>
      <c r="D93" s="4" t="s">
        <v>454</v>
      </c>
      <c r="E93" s="4" t="s">
        <v>263</v>
      </c>
      <c r="F93" s="4" t="s">
        <v>48</v>
      </c>
      <c r="G93" s="4" t="b">
        <v>1</v>
      </c>
      <c r="H93" s="4" t="s">
        <v>25</v>
      </c>
      <c r="I93" s="4" t="s">
        <v>456</v>
      </c>
      <c r="J93" s="4" t="s">
        <v>455</v>
      </c>
      <c r="K93" s="7">
        <v>17500</v>
      </c>
      <c r="L93" s="10">
        <v>117.24</v>
      </c>
      <c r="M93" s="5" t="s">
        <v>36</v>
      </c>
      <c r="N93" s="4">
        <v>78.5</v>
      </c>
      <c r="O93" s="13">
        <v>9.6</v>
      </c>
      <c r="P93" s="13">
        <v>36.6</v>
      </c>
      <c r="Q93" s="4">
        <v>328239523</v>
      </c>
    </row>
    <row r="94" spans="1:17" x14ac:dyDescent="0.3">
      <c r="A94" s="4">
        <v>94</v>
      </c>
      <c r="B94" s="4" t="s">
        <v>457</v>
      </c>
      <c r="C94" s="4" t="s">
        <v>73</v>
      </c>
      <c r="D94" s="4" t="s">
        <v>458</v>
      </c>
      <c r="E94" s="4" t="s">
        <v>448</v>
      </c>
      <c r="F94" s="4" t="s">
        <v>271</v>
      </c>
      <c r="G94" s="4" t="b">
        <v>0</v>
      </c>
      <c r="H94" s="4" t="s">
        <v>84</v>
      </c>
      <c r="I94" s="4" t="s">
        <v>460</v>
      </c>
      <c r="J94" s="4" t="s">
        <v>459</v>
      </c>
      <c r="K94" s="7">
        <v>17500</v>
      </c>
      <c r="L94" s="10">
        <v>180.44</v>
      </c>
      <c r="M94" s="5" t="s">
        <v>77</v>
      </c>
      <c r="N94" s="4">
        <v>69.400000000000006</v>
      </c>
      <c r="O94" s="13">
        <v>11.2</v>
      </c>
      <c r="P94" s="13">
        <v>49.7</v>
      </c>
      <c r="Q94" s="4">
        <v>1366417754</v>
      </c>
    </row>
    <row r="95" spans="1:17" x14ac:dyDescent="0.3">
      <c r="A95" s="4">
        <v>97</v>
      </c>
      <c r="B95" s="4" t="s">
        <v>462</v>
      </c>
      <c r="C95" s="4" t="s">
        <v>31</v>
      </c>
      <c r="D95" s="4" t="s">
        <v>463</v>
      </c>
      <c r="E95" s="4" t="s">
        <v>464</v>
      </c>
      <c r="F95" s="4" t="s">
        <v>461</v>
      </c>
      <c r="G95" s="4" t="b">
        <v>1</v>
      </c>
      <c r="H95" s="4" t="s">
        <v>25</v>
      </c>
      <c r="I95" s="4" t="s">
        <v>466</v>
      </c>
      <c r="J95" s="4" t="s">
        <v>465</v>
      </c>
      <c r="K95" s="7">
        <v>17400</v>
      </c>
      <c r="L95" s="10">
        <v>117.24</v>
      </c>
      <c r="M95" s="5" t="s">
        <v>36</v>
      </c>
      <c r="N95" s="4">
        <v>78.5</v>
      </c>
      <c r="O95" s="13">
        <v>9.6</v>
      </c>
      <c r="P95" s="13">
        <v>36.6</v>
      </c>
      <c r="Q95" s="4">
        <v>328239523</v>
      </c>
    </row>
    <row r="96" spans="1:17" x14ac:dyDescent="0.3">
      <c r="A96" s="4">
        <v>97</v>
      </c>
      <c r="B96" s="4" t="s">
        <v>467</v>
      </c>
      <c r="C96" s="4" t="s">
        <v>31</v>
      </c>
      <c r="D96" s="4" t="s">
        <v>468</v>
      </c>
      <c r="E96" s="4" t="s">
        <v>469</v>
      </c>
      <c r="F96" s="4" t="s">
        <v>20</v>
      </c>
      <c r="G96" s="4" t="b">
        <v>1</v>
      </c>
      <c r="H96" s="4" t="s">
        <v>25</v>
      </c>
      <c r="I96" s="4" t="s">
        <v>189</v>
      </c>
      <c r="J96" s="4" t="s">
        <v>470</v>
      </c>
      <c r="K96" s="7">
        <v>17400</v>
      </c>
      <c r="L96" s="10">
        <v>117.24</v>
      </c>
      <c r="M96" s="5" t="s">
        <v>36</v>
      </c>
      <c r="N96" s="4">
        <v>78.5</v>
      </c>
      <c r="O96" s="13">
        <v>9.6</v>
      </c>
      <c r="P96" s="13">
        <v>36.6</v>
      </c>
      <c r="Q96" s="4">
        <v>328239523</v>
      </c>
    </row>
    <row r="97" spans="1:17" x14ac:dyDescent="0.3">
      <c r="A97" s="4">
        <v>99</v>
      </c>
      <c r="B97" s="4" t="s">
        <v>471</v>
      </c>
      <c r="C97" s="4" t="s">
        <v>31</v>
      </c>
      <c r="D97" s="4" t="s">
        <v>60</v>
      </c>
      <c r="E97" s="4" t="s">
        <v>472</v>
      </c>
      <c r="F97" s="4" t="s">
        <v>58</v>
      </c>
      <c r="G97" s="4" t="b">
        <v>0</v>
      </c>
      <c r="H97" s="4" t="s">
        <v>25</v>
      </c>
      <c r="I97" s="4" t="s">
        <v>474</v>
      </c>
      <c r="J97" s="4" t="s">
        <v>473</v>
      </c>
      <c r="K97" s="7">
        <v>17100</v>
      </c>
      <c r="L97" s="10">
        <v>117.24</v>
      </c>
      <c r="M97" s="5" t="s">
        <v>36</v>
      </c>
      <c r="N97" s="4">
        <v>78.5</v>
      </c>
      <c r="O97" s="13">
        <v>9.6</v>
      </c>
      <c r="P97" s="13">
        <v>36.6</v>
      </c>
      <c r="Q97" s="4">
        <v>328239523</v>
      </c>
    </row>
    <row r="98" spans="1:17" x14ac:dyDescent="0.3">
      <c r="A98" s="4">
        <v>100</v>
      </c>
      <c r="B98" s="4" t="s">
        <v>475</v>
      </c>
      <c r="C98" s="4" t="s">
        <v>169</v>
      </c>
      <c r="D98" s="4" t="s">
        <v>476</v>
      </c>
      <c r="E98" s="4" t="s">
        <v>477</v>
      </c>
      <c r="F98" s="4" t="s">
        <v>48</v>
      </c>
      <c r="G98" s="4" t="b">
        <v>0</v>
      </c>
      <c r="H98" s="4" t="s">
        <v>84</v>
      </c>
      <c r="I98" s="4" t="s">
        <v>479</v>
      </c>
      <c r="J98" s="4" t="s">
        <v>478</v>
      </c>
      <c r="K98" s="7">
        <v>16700</v>
      </c>
      <c r="L98" s="10">
        <v>99.55</v>
      </c>
      <c r="M98" s="5" t="s">
        <v>174</v>
      </c>
      <c r="N98" s="4">
        <v>83.6</v>
      </c>
      <c r="O98" s="13">
        <v>10.1</v>
      </c>
      <c r="P98" s="13">
        <v>28.8</v>
      </c>
      <c r="Q98" s="4">
        <v>8574832</v>
      </c>
    </row>
    <row r="99" spans="1:17" x14ac:dyDescent="0.3">
      <c r="A99" s="4">
        <v>101</v>
      </c>
      <c r="B99" s="4" t="s">
        <v>480</v>
      </c>
      <c r="C99" s="4" t="s">
        <v>157</v>
      </c>
      <c r="D99" s="4" t="s">
        <v>481</v>
      </c>
      <c r="E99" s="4" t="s">
        <v>482</v>
      </c>
      <c r="F99" s="4" t="s">
        <v>20</v>
      </c>
      <c r="G99" s="4" t="b">
        <v>0</v>
      </c>
      <c r="H99" s="4" t="s">
        <v>25</v>
      </c>
      <c r="I99" s="4" t="s">
        <v>484</v>
      </c>
      <c r="J99" s="4" t="s">
        <v>483</v>
      </c>
      <c r="K99" s="7">
        <v>16500</v>
      </c>
      <c r="L99" s="10">
        <v>112.85</v>
      </c>
      <c r="M99" s="5" t="s">
        <v>162</v>
      </c>
      <c r="N99" s="4">
        <v>80.900000000000006</v>
      </c>
      <c r="O99" s="13">
        <v>11.5</v>
      </c>
      <c r="P99" s="13">
        <v>48.8</v>
      </c>
      <c r="Q99" s="4">
        <v>83132799</v>
      </c>
    </row>
    <row r="100" spans="1:17" x14ac:dyDescent="0.3">
      <c r="A100" s="4">
        <v>101</v>
      </c>
      <c r="B100" s="4" t="s">
        <v>485</v>
      </c>
      <c r="C100" s="4" t="s">
        <v>486</v>
      </c>
      <c r="D100" s="4" t="s">
        <v>487</v>
      </c>
      <c r="E100" s="4" t="s">
        <v>488</v>
      </c>
      <c r="F100" s="4" t="s">
        <v>48</v>
      </c>
      <c r="G100" s="4" t="b">
        <v>0</v>
      </c>
      <c r="H100" s="4" t="s">
        <v>84</v>
      </c>
      <c r="I100" s="4" t="s">
        <v>490</v>
      </c>
      <c r="J100" s="4" t="s">
        <v>489</v>
      </c>
      <c r="K100" s="7">
        <v>16500</v>
      </c>
      <c r="L100" s="10">
        <v>116.48</v>
      </c>
      <c r="M100" s="5" t="s">
        <v>491</v>
      </c>
      <c r="N100" s="4">
        <v>79</v>
      </c>
      <c r="O100" s="13">
        <v>14.9</v>
      </c>
      <c r="P100" s="13">
        <v>46.1</v>
      </c>
      <c r="Q100" s="4">
        <v>10669709</v>
      </c>
    </row>
    <row r="101" spans="1:17" x14ac:dyDescent="0.3">
      <c r="A101" s="4">
        <v>103</v>
      </c>
      <c r="B101" s="4" t="s">
        <v>492</v>
      </c>
      <c r="C101" s="4" t="s">
        <v>104</v>
      </c>
      <c r="D101" s="4" t="s">
        <v>191</v>
      </c>
      <c r="E101" s="4" t="s">
        <v>493</v>
      </c>
      <c r="F101" s="4" t="s">
        <v>350</v>
      </c>
      <c r="G101" s="4" t="b">
        <v>1</v>
      </c>
      <c r="H101" s="4" t="s">
        <v>25</v>
      </c>
      <c r="I101" s="4" t="s">
        <v>494</v>
      </c>
      <c r="J101" s="4" t="s">
        <v>418</v>
      </c>
      <c r="K101" s="7">
        <v>16300</v>
      </c>
      <c r="L101" s="10">
        <v>125.08</v>
      </c>
      <c r="M101" s="5" t="s">
        <v>109</v>
      </c>
      <c r="N101" s="4">
        <v>77</v>
      </c>
      <c r="O101" s="13">
        <v>9.4</v>
      </c>
      <c r="P101" s="13">
        <v>59.2</v>
      </c>
      <c r="Q101" s="4">
        <v>1397715000</v>
      </c>
    </row>
    <row r="102" spans="1:17" x14ac:dyDescent="0.3">
      <c r="A102" s="4">
        <v>104</v>
      </c>
      <c r="B102" s="4" t="s">
        <v>495</v>
      </c>
      <c r="C102" s="4" t="s">
        <v>496</v>
      </c>
      <c r="D102" s="4" t="s">
        <v>497</v>
      </c>
      <c r="E102" s="4" t="s">
        <v>498</v>
      </c>
      <c r="F102" s="4" t="s">
        <v>20</v>
      </c>
      <c r="G102" s="4" t="b">
        <v>0</v>
      </c>
      <c r="H102" s="4" t="s">
        <v>25</v>
      </c>
      <c r="I102" s="4" t="s">
        <v>315</v>
      </c>
      <c r="J102" s="4" t="s">
        <v>499</v>
      </c>
      <c r="K102" s="7">
        <v>16200</v>
      </c>
      <c r="L102" s="10">
        <v>110.51</v>
      </c>
      <c r="M102" s="5" t="s">
        <v>500</v>
      </c>
      <c r="N102" s="4">
        <v>82.5</v>
      </c>
      <c r="O102" s="13">
        <v>27.9</v>
      </c>
      <c r="P102" s="13">
        <v>49.1</v>
      </c>
      <c r="Q102" s="4">
        <v>10285453</v>
      </c>
    </row>
    <row r="103" spans="1:17" x14ac:dyDescent="0.3">
      <c r="A103" s="4">
        <v>104</v>
      </c>
      <c r="B103" s="4" t="s">
        <v>501</v>
      </c>
      <c r="C103" s="4" t="s">
        <v>31</v>
      </c>
      <c r="D103" s="4" t="s">
        <v>502</v>
      </c>
      <c r="E103" s="4" t="s">
        <v>89</v>
      </c>
      <c r="F103" s="4" t="s">
        <v>37</v>
      </c>
      <c r="G103" s="4" t="b">
        <v>1</v>
      </c>
      <c r="H103" s="4" t="s">
        <v>25</v>
      </c>
      <c r="I103" s="4" t="s">
        <v>419</v>
      </c>
      <c r="J103" s="4" t="s">
        <v>503</v>
      </c>
      <c r="K103" s="7">
        <v>16200</v>
      </c>
      <c r="L103" s="10">
        <v>117.24</v>
      </c>
      <c r="M103" s="5" t="s">
        <v>36</v>
      </c>
      <c r="N103" s="4">
        <v>78.5</v>
      </c>
      <c r="O103" s="13">
        <v>9.6</v>
      </c>
      <c r="P103" s="13">
        <v>36.6</v>
      </c>
      <c r="Q103" s="4">
        <v>328239523</v>
      </c>
    </row>
    <row r="104" spans="1:17" x14ac:dyDescent="0.3">
      <c r="A104" s="4">
        <v>106</v>
      </c>
      <c r="B104" s="4" t="s">
        <v>504</v>
      </c>
      <c r="C104" s="4" t="s">
        <v>169</v>
      </c>
      <c r="D104" s="4" t="s">
        <v>238</v>
      </c>
      <c r="E104" s="4" t="s">
        <v>203</v>
      </c>
      <c r="F104" s="4" t="s">
        <v>48</v>
      </c>
      <c r="G104" s="4" t="b">
        <v>1</v>
      </c>
      <c r="H104" s="4" t="s">
        <v>25</v>
      </c>
      <c r="I104" s="4" t="s">
        <v>63</v>
      </c>
      <c r="J104" s="4" t="s">
        <v>505</v>
      </c>
      <c r="K104" s="7">
        <v>16000</v>
      </c>
      <c r="L104" s="10">
        <v>99.55</v>
      </c>
      <c r="M104" s="5" t="s">
        <v>174</v>
      </c>
      <c r="N104" s="4">
        <v>83.6</v>
      </c>
      <c r="O104" s="13">
        <v>10.1</v>
      </c>
      <c r="P104" s="13">
        <v>28.8</v>
      </c>
      <c r="Q104" s="4">
        <v>8574832</v>
      </c>
    </row>
    <row r="105" spans="1:17" x14ac:dyDescent="0.3">
      <c r="A105" s="4">
        <v>107</v>
      </c>
      <c r="B105" s="4" t="s">
        <v>506</v>
      </c>
      <c r="C105" s="4" t="s">
        <v>104</v>
      </c>
      <c r="D105" s="4" t="s">
        <v>335</v>
      </c>
      <c r="E105" s="4" t="s">
        <v>507</v>
      </c>
      <c r="F105" s="4" t="s">
        <v>102</v>
      </c>
      <c r="G105" s="4" t="b">
        <v>1</v>
      </c>
      <c r="H105" s="4" t="s">
        <v>25</v>
      </c>
      <c r="I105" s="4" t="s">
        <v>509</v>
      </c>
      <c r="J105" s="4" t="s">
        <v>508</v>
      </c>
      <c r="K105" s="7">
        <v>15900</v>
      </c>
      <c r="L105" s="10">
        <v>125.08</v>
      </c>
      <c r="M105" s="5" t="s">
        <v>109</v>
      </c>
      <c r="N105" s="4">
        <v>77</v>
      </c>
      <c r="O105" s="13">
        <v>9.4</v>
      </c>
      <c r="P105" s="13">
        <v>59.2</v>
      </c>
      <c r="Q105" s="4">
        <v>1397715000</v>
      </c>
    </row>
    <row r="106" spans="1:17" x14ac:dyDescent="0.3">
      <c r="A106" s="4">
        <v>108</v>
      </c>
      <c r="B106" s="4" t="s">
        <v>510</v>
      </c>
      <c r="C106" s="4" t="s">
        <v>169</v>
      </c>
      <c r="D106" s="4" t="s">
        <v>511</v>
      </c>
      <c r="E106" s="4" t="s">
        <v>512</v>
      </c>
      <c r="F106" s="4" t="s">
        <v>102</v>
      </c>
      <c r="G106" s="4" t="b">
        <v>1</v>
      </c>
      <c r="H106" s="4" t="s">
        <v>25</v>
      </c>
      <c r="I106" s="4" t="s">
        <v>514</v>
      </c>
      <c r="J106" s="4" t="s">
        <v>513</v>
      </c>
      <c r="K106" s="7">
        <v>15800</v>
      </c>
      <c r="L106" s="10">
        <v>99.55</v>
      </c>
      <c r="M106" s="5" t="s">
        <v>174</v>
      </c>
      <c r="N106" s="4">
        <v>83.6</v>
      </c>
      <c r="O106" s="13">
        <v>10.1</v>
      </c>
      <c r="P106" s="13">
        <v>28.8</v>
      </c>
      <c r="Q106" s="4">
        <v>8574832</v>
      </c>
    </row>
    <row r="107" spans="1:17" x14ac:dyDescent="0.3">
      <c r="A107" s="4">
        <v>112</v>
      </c>
      <c r="B107" s="4" t="s">
        <v>515</v>
      </c>
      <c r="C107" s="4" t="s">
        <v>73</v>
      </c>
      <c r="D107" s="4" t="s">
        <v>74</v>
      </c>
      <c r="E107" s="4" t="s">
        <v>516</v>
      </c>
      <c r="F107" s="4" t="s">
        <v>350</v>
      </c>
      <c r="G107" s="4" t="b">
        <v>1</v>
      </c>
      <c r="H107" s="4" t="s">
        <v>25</v>
      </c>
      <c r="I107" s="4" t="s">
        <v>518</v>
      </c>
      <c r="J107" s="4" t="s">
        <v>517</v>
      </c>
      <c r="K107" s="7">
        <v>15600</v>
      </c>
      <c r="L107" s="10">
        <v>180.44</v>
      </c>
      <c r="M107" s="5" t="s">
        <v>77</v>
      </c>
      <c r="N107" s="4">
        <v>69.400000000000006</v>
      </c>
      <c r="O107" s="13">
        <v>11.2</v>
      </c>
      <c r="P107" s="13">
        <v>49.7</v>
      </c>
      <c r="Q107" s="4">
        <v>1366417754</v>
      </c>
    </row>
    <row r="108" spans="1:17" x14ac:dyDescent="0.3">
      <c r="A108" s="4">
        <v>113</v>
      </c>
      <c r="B108" s="4" t="s">
        <v>519</v>
      </c>
      <c r="C108" s="4" t="s">
        <v>31</v>
      </c>
      <c r="D108" s="4" t="s">
        <v>520</v>
      </c>
      <c r="E108" s="4" t="s">
        <v>521</v>
      </c>
      <c r="F108" s="4" t="s">
        <v>37</v>
      </c>
      <c r="G108" s="4" t="b">
        <v>1</v>
      </c>
      <c r="H108" s="4" t="s">
        <v>25</v>
      </c>
      <c r="I108" s="4" t="s">
        <v>523</v>
      </c>
      <c r="J108" s="4" t="s">
        <v>522</v>
      </c>
      <c r="K108" s="7">
        <v>15500</v>
      </c>
      <c r="L108" s="10">
        <v>117.24</v>
      </c>
      <c r="M108" s="5" t="s">
        <v>36</v>
      </c>
      <c r="N108" s="4">
        <v>78.5</v>
      </c>
      <c r="O108" s="13">
        <v>9.6</v>
      </c>
      <c r="P108" s="13">
        <v>36.6</v>
      </c>
      <c r="Q108" s="4">
        <v>328239523</v>
      </c>
    </row>
    <row r="109" spans="1:17" x14ac:dyDescent="0.3">
      <c r="A109" s="4">
        <v>114</v>
      </c>
      <c r="B109" s="4" t="s">
        <v>524</v>
      </c>
      <c r="C109" s="4" t="s">
        <v>73</v>
      </c>
      <c r="D109" s="4" t="s">
        <v>74</v>
      </c>
      <c r="E109" s="4" t="s">
        <v>525</v>
      </c>
      <c r="F109" s="4" t="s">
        <v>20</v>
      </c>
      <c r="G109" s="4" t="b">
        <v>1</v>
      </c>
      <c r="H109" s="4" t="s">
        <v>25</v>
      </c>
      <c r="I109" s="4" t="s">
        <v>527</v>
      </c>
      <c r="J109" s="4" t="s">
        <v>526</v>
      </c>
      <c r="K109" s="7">
        <v>15300</v>
      </c>
      <c r="L109" s="10">
        <v>180.44</v>
      </c>
      <c r="M109" s="5" t="s">
        <v>77</v>
      </c>
      <c r="N109" s="4">
        <v>69.400000000000006</v>
      </c>
      <c r="O109" s="13">
        <v>11.2</v>
      </c>
      <c r="P109" s="13">
        <v>49.7</v>
      </c>
      <c r="Q109" s="4">
        <v>1366417754</v>
      </c>
    </row>
    <row r="110" spans="1:17" x14ac:dyDescent="0.3">
      <c r="A110" s="4">
        <v>115</v>
      </c>
      <c r="B110" s="4" t="s">
        <v>528</v>
      </c>
      <c r="C110" s="4" t="s">
        <v>104</v>
      </c>
      <c r="D110" s="4" t="s">
        <v>213</v>
      </c>
      <c r="E110" s="4" t="s">
        <v>214</v>
      </c>
      <c r="F110" s="4" t="s">
        <v>29</v>
      </c>
      <c r="G110" s="4" t="b">
        <v>1</v>
      </c>
      <c r="H110" s="4" t="s">
        <v>25</v>
      </c>
      <c r="I110" s="4" t="s">
        <v>529</v>
      </c>
      <c r="J110" s="4" t="s">
        <v>247</v>
      </c>
      <c r="K110" s="7">
        <v>15200</v>
      </c>
      <c r="L110" s="10">
        <v>125.08</v>
      </c>
      <c r="M110" s="5" t="s">
        <v>109</v>
      </c>
      <c r="N110" s="4">
        <v>77</v>
      </c>
      <c r="O110" s="13">
        <v>9.4</v>
      </c>
      <c r="P110" s="13">
        <v>59.2</v>
      </c>
      <c r="Q110" s="4">
        <v>1397715000</v>
      </c>
    </row>
    <row r="111" spans="1:17" x14ac:dyDescent="0.3">
      <c r="A111" s="4">
        <v>116</v>
      </c>
      <c r="B111" s="4" t="s">
        <v>530</v>
      </c>
      <c r="C111" s="4" t="s">
        <v>531</v>
      </c>
      <c r="D111" s="4" t="s">
        <v>532</v>
      </c>
      <c r="E111" s="4" t="s">
        <v>71</v>
      </c>
      <c r="F111" s="4" t="s">
        <v>71</v>
      </c>
      <c r="G111" s="4" t="b">
        <v>0</v>
      </c>
      <c r="H111" s="4" t="s">
        <v>25</v>
      </c>
      <c r="I111" s="4" t="s">
        <v>534</v>
      </c>
      <c r="J111" s="4" t="s">
        <v>533</v>
      </c>
      <c r="K111" s="7">
        <v>14900</v>
      </c>
      <c r="L111" s="10">
        <v>113.27</v>
      </c>
      <c r="M111" s="5" t="s">
        <v>535</v>
      </c>
      <c r="N111" s="4">
        <v>76.900000000000006</v>
      </c>
      <c r="O111" s="13">
        <v>14.9</v>
      </c>
      <c r="P111" s="13">
        <v>29.5</v>
      </c>
      <c r="Q111" s="4">
        <v>69625582</v>
      </c>
    </row>
    <row r="112" spans="1:17" x14ac:dyDescent="0.3">
      <c r="A112" s="4">
        <v>116</v>
      </c>
      <c r="B112" s="4" t="s">
        <v>536</v>
      </c>
      <c r="C112" s="4" t="s">
        <v>31</v>
      </c>
      <c r="D112" s="4" t="s">
        <v>432</v>
      </c>
      <c r="E112" s="4" t="s">
        <v>159</v>
      </c>
      <c r="F112" s="4" t="s">
        <v>20</v>
      </c>
      <c r="G112" s="4" t="b">
        <v>1</v>
      </c>
      <c r="H112" s="4" t="s">
        <v>25</v>
      </c>
      <c r="I112" s="4" t="s">
        <v>136</v>
      </c>
      <c r="J112" s="4" t="s">
        <v>537</v>
      </c>
      <c r="K112" s="7">
        <v>14900</v>
      </c>
      <c r="L112" s="10">
        <v>117.24</v>
      </c>
      <c r="M112" s="5" t="s">
        <v>36</v>
      </c>
      <c r="N112" s="4">
        <v>78.5</v>
      </c>
      <c r="O112" s="13">
        <v>9.6</v>
      </c>
      <c r="P112" s="13">
        <v>36.6</v>
      </c>
      <c r="Q112" s="4">
        <v>328239523</v>
      </c>
    </row>
    <row r="113" spans="1:17" x14ac:dyDescent="0.3">
      <c r="A113" s="4">
        <v>118</v>
      </c>
      <c r="B113" s="4" t="s">
        <v>538</v>
      </c>
      <c r="C113" s="4" t="s">
        <v>531</v>
      </c>
      <c r="D113" s="4" t="s">
        <v>532</v>
      </c>
      <c r="E113" s="4" t="s">
        <v>539</v>
      </c>
      <c r="F113" s="4" t="s">
        <v>102</v>
      </c>
      <c r="G113" s="4" t="b">
        <v>1</v>
      </c>
      <c r="H113" s="4" t="s">
        <v>25</v>
      </c>
      <c r="I113" s="4" t="s">
        <v>541</v>
      </c>
      <c r="J113" s="4" t="s">
        <v>540</v>
      </c>
      <c r="K113" s="7">
        <v>14800</v>
      </c>
      <c r="L113" s="10">
        <v>113.27</v>
      </c>
      <c r="M113" s="5" t="s">
        <v>535</v>
      </c>
      <c r="N113" s="4">
        <v>76.900000000000006</v>
      </c>
      <c r="O113" s="13">
        <v>14.9</v>
      </c>
      <c r="P113" s="13">
        <v>29.5</v>
      </c>
      <c r="Q113" s="4">
        <v>69625582</v>
      </c>
    </row>
    <row r="114" spans="1:17" x14ac:dyDescent="0.3">
      <c r="A114" s="4">
        <v>119</v>
      </c>
      <c r="B114" s="4" t="s">
        <v>542</v>
      </c>
      <c r="C114" s="4" t="s">
        <v>225</v>
      </c>
      <c r="D114" s="4" t="s">
        <v>226</v>
      </c>
      <c r="E114" s="4" t="s">
        <v>543</v>
      </c>
      <c r="F114" s="4" t="s">
        <v>102</v>
      </c>
      <c r="G114" s="4" t="b">
        <v>0</v>
      </c>
      <c r="H114" s="4" t="s">
        <v>84</v>
      </c>
      <c r="I114" s="4" t="s">
        <v>545</v>
      </c>
      <c r="J114" s="4" t="s">
        <v>544</v>
      </c>
      <c r="K114" s="7">
        <v>14700</v>
      </c>
      <c r="L114" s="10">
        <v>119.62</v>
      </c>
      <c r="M114" s="5" t="s">
        <v>230</v>
      </c>
      <c r="N114" s="4">
        <v>81.3</v>
      </c>
      <c r="O114" s="13">
        <v>25.5</v>
      </c>
      <c r="P114" s="13">
        <v>30.6</v>
      </c>
      <c r="Q114" s="4">
        <v>66834405</v>
      </c>
    </row>
    <row r="115" spans="1:17" x14ac:dyDescent="0.3">
      <c r="A115" s="4">
        <v>120</v>
      </c>
      <c r="B115" s="4" t="s">
        <v>546</v>
      </c>
      <c r="C115" s="4" t="s">
        <v>104</v>
      </c>
      <c r="D115" s="4" t="s">
        <v>191</v>
      </c>
      <c r="E115" s="4" t="s">
        <v>547</v>
      </c>
      <c r="F115" s="4" t="s">
        <v>350</v>
      </c>
      <c r="G115" s="4" t="b">
        <v>1</v>
      </c>
      <c r="H115" s="4" t="s">
        <v>25</v>
      </c>
      <c r="I115" s="4" t="s">
        <v>549</v>
      </c>
      <c r="J115" s="4" t="s">
        <v>548</v>
      </c>
      <c r="K115" s="7">
        <v>14600</v>
      </c>
      <c r="L115" s="10">
        <v>125.08</v>
      </c>
      <c r="M115" s="5" t="s">
        <v>109</v>
      </c>
      <c r="N115" s="4">
        <v>77</v>
      </c>
      <c r="O115" s="13">
        <v>9.4</v>
      </c>
      <c r="P115" s="13">
        <v>59.2</v>
      </c>
      <c r="Q115" s="4">
        <v>1397715000</v>
      </c>
    </row>
    <row r="116" spans="1:17" x14ac:dyDescent="0.3">
      <c r="A116" s="4">
        <v>121</v>
      </c>
      <c r="B116" s="4" t="s">
        <v>550</v>
      </c>
      <c r="C116" s="4" t="s">
        <v>104</v>
      </c>
      <c r="D116" s="4" t="s">
        <v>551</v>
      </c>
      <c r="E116" s="4" t="s">
        <v>417</v>
      </c>
      <c r="F116" s="4" t="s">
        <v>29</v>
      </c>
      <c r="G116" s="4" t="b">
        <v>1</v>
      </c>
      <c r="H116" s="4" t="s">
        <v>25</v>
      </c>
      <c r="I116" s="4" t="s">
        <v>552</v>
      </c>
      <c r="J116" s="4" t="s">
        <v>384</v>
      </c>
      <c r="K116" s="7">
        <v>14500</v>
      </c>
      <c r="L116" s="10">
        <v>125.08</v>
      </c>
      <c r="M116" s="5" t="s">
        <v>109</v>
      </c>
      <c r="N116" s="4">
        <v>77</v>
      </c>
      <c r="O116" s="13">
        <v>9.4</v>
      </c>
      <c r="P116" s="13">
        <v>59.2</v>
      </c>
      <c r="Q116" s="4">
        <v>1397715000</v>
      </c>
    </row>
    <row r="117" spans="1:17" x14ac:dyDescent="0.3">
      <c r="A117" s="4">
        <v>123</v>
      </c>
      <c r="B117" s="4" t="s">
        <v>553</v>
      </c>
      <c r="C117" s="4" t="s">
        <v>554</v>
      </c>
      <c r="D117" s="4" t="s">
        <v>554</v>
      </c>
      <c r="E117" s="4" t="s">
        <v>555</v>
      </c>
      <c r="F117" s="4" t="s">
        <v>249</v>
      </c>
      <c r="G117" s="4" t="b">
        <v>1</v>
      </c>
      <c r="H117" s="4" t="s">
        <v>25</v>
      </c>
      <c r="I117" s="4" t="s">
        <v>557</v>
      </c>
      <c r="J117" s="4" t="s">
        <v>556</v>
      </c>
      <c r="K117" s="7">
        <v>14300</v>
      </c>
      <c r="L117" s="10">
        <v>114.41</v>
      </c>
      <c r="M117" s="5" t="s">
        <v>558</v>
      </c>
      <c r="N117" s="4">
        <v>83.1</v>
      </c>
      <c r="O117" s="13">
        <v>13.1</v>
      </c>
      <c r="P117" s="13">
        <v>21</v>
      </c>
      <c r="Q117" s="4">
        <v>5703569</v>
      </c>
    </row>
    <row r="118" spans="1:17" x14ac:dyDescent="0.3">
      <c r="A118" s="4">
        <v>124</v>
      </c>
      <c r="B118" s="4" t="s">
        <v>559</v>
      </c>
      <c r="C118" s="4" t="s">
        <v>73</v>
      </c>
      <c r="D118" s="4" t="s">
        <v>74</v>
      </c>
      <c r="E118" s="4" t="s">
        <v>560</v>
      </c>
      <c r="F118" s="4" t="s">
        <v>71</v>
      </c>
      <c r="G118" s="4" t="b">
        <v>0</v>
      </c>
      <c r="H118" s="4" t="s">
        <v>25</v>
      </c>
      <c r="I118" s="4" t="s">
        <v>562</v>
      </c>
      <c r="J118" s="4" t="s">
        <v>561</v>
      </c>
      <c r="K118" s="7">
        <v>14200</v>
      </c>
      <c r="L118" s="10">
        <v>180.44</v>
      </c>
      <c r="M118" s="5" t="s">
        <v>77</v>
      </c>
      <c r="N118" s="4">
        <v>69.400000000000006</v>
      </c>
      <c r="O118" s="13">
        <v>11.2</v>
      </c>
      <c r="P118" s="13">
        <v>49.7</v>
      </c>
      <c r="Q118" s="4">
        <v>1366417754</v>
      </c>
    </row>
    <row r="119" spans="1:17" x14ac:dyDescent="0.3">
      <c r="A119" s="4">
        <v>124</v>
      </c>
      <c r="B119" s="4" t="s">
        <v>563</v>
      </c>
      <c r="C119" s="4" t="s">
        <v>564</v>
      </c>
      <c r="D119" s="4" t="s">
        <v>565</v>
      </c>
      <c r="E119" s="4" t="s">
        <v>566</v>
      </c>
      <c r="F119" s="4" t="s">
        <v>249</v>
      </c>
      <c r="G119" s="4" t="b">
        <v>1</v>
      </c>
      <c r="H119" s="4" t="s">
        <v>25</v>
      </c>
      <c r="I119" s="4" t="s">
        <v>568</v>
      </c>
      <c r="J119" s="4" t="s">
        <v>567</v>
      </c>
      <c r="K119" s="7">
        <v>14200</v>
      </c>
      <c r="L119" s="10">
        <v>267.51</v>
      </c>
      <c r="M119" s="5" t="s">
        <v>569</v>
      </c>
      <c r="N119" s="4">
        <v>54.3</v>
      </c>
      <c r="O119" s="13">
        <v>1.5</v>
      </c>
      <c r="P119" s="13">
        <v>34.799999999999997</v>
      </c>
      <c r="Q119" s="4">
        <v>200963599</v>
      </c>
    </row>
    <row r="120" spans="1:17" x14ac:dyDescent="0.3">
      <c r="A120" s="4">
        <v>127</v>
      </c>
      <c r="B120" s="4" t="s">
        <v>570</v>
      </c>
      <c r="C120" s="4" t="s">
        <v>225</v>
      </c>
      <c r="D120" s="4" t="s">
        <v>226</v>
      </c>
      <c r="E120" s="4" t="s">
        <v>171</v>
      </c>
      <c r="F120" s="4" t="s">
        <v>71</v>
      </c>
      <c r="G120" s="4" t="b">
        <v>0</v>
      </c>
      <c r="H120" s="4" t="s">
        <v>25</v>
      </c>
      <c r="I120" s="4" t="s">
        <v>572</v>
      </c>
      <c r="J120" s="4" t="s">
        <v>571</v>
      </c>
      <c r="K120" s="7">
        <v>14000</v>
      </c>
      <c r="L120" s="10">
        <v>119.62</v>
      </c>
      <c r="M120" s="5" t="s">
        <v>230</v>
      </c>
      <c r="N120" s="4">
        <v>81.3</v>
      </c>
      <c r="O120" s="13">
        <v>25.5</v>
      </c>
      <c r="P120" s="13">
        <v>30.6</v>
      </c>
      <c r="Q120" s="4">
        <v>66834405</v>
      </c>
    </row>
    <row r="121" spans="1:17" x14ac:dyDescent="0.3">
      <c r="A121" s="4">
        <v>128</v>
      </c>
      <c r="B121" s="4" t="s">
        <v>573</v>
      </c>
      <c r="C121" s="4" t="s">
        <v>104</v>
      </c>
      <c r="D121" s="4" t="s">
        <v>574</v>
      </c>
      <c r="E121" s="4" t="s">
        <v>407</v>
      </c>
      <c r="F121" s="4" t="s">
        <v>350</v>
      </c>
      <c r="G121" s="4" t="b">
        <v>1</v>
      </c>
      <c r="H121" s="4" t="s">
        <v>25</v>
      </c>
      <c r="I121" s="4" t="s">
        <v>576</v>
      </c>
      <c r="J121" s="4" t="s">
        <v>575</v>
      </c>
      <c r="K121" s="7">
        <v>13900</v>
      </c>
      <c r="L121" s="10">
        <v>125.08</v>
      </c>
      <c r="M121" s="5" t="s">
        <v>109</v>
      </c>
      <c r="N121" s="4">
        <v>77</v>
      </c>
      <c r="O121" s="13">
        <v>9.4</v>
      </c>
      <c r="P121" s="13">
        <v>59.2</v>
      </c>
      <c r="Q121" s="4">
        <v>1397715000</v>
      </c>
    </row>
    <row r="122" spans="1:17" x14ac:dyDescent="0.3">
      <c r="A122" s="4">
        <v>130</v>
      </c>
      <c r="B122" s="4" t="s">
        <v>577</v>
      </c>
      <c r="C122" s="4" t="s">
        <v>225</v>
      </c>
      <c r="D122" s="4" t="s">
        <v>226</v>
      </c>
      <c r="E122" s="4" t="s">
        <v>171</v>
      </c>
      <c r="F122" s="4" t="s">
        <v>167</v>
      </c>
      <c r="G122" s="4" t="b">
        <v>1</v>
      </c>
      <c r="H122" s="4" t="s">
        <v>25</v>
      </c>
      <c r="I122" s="4" t="s">
        <v>189</v>
      </c>
      <c r="J122" s="4" t="s">
        <v>578</v>
      </c>
      <c r="K122" s="7">
        <v>13700</v>
      </c>
      <c r="L122" s="10">
        <v>119.62</v>
      </c>
      <c r="M122" s="5" t="s">
        <v>230</v>
      </c>
      <c r="N122" s="4">
        <v>81.3</v>
      </c>
      <c r="O122" s="13">
        <v>25.5</v>
      </c>
      <c r="P122" s="13">
        <v>30.6</v>
      </c>
      <c r="Q122" s="4">
        <v>66834405</v>
      </c>
    </row>
    <row r="123" spans="1:17" x14ac:dyDescent="0.3">
      <c r="A123" s="4">
        <v>130</v>
      </c>
      <c r="B123" s="4" t="s">
        <v>580</v>
      </c>
      <c r="C123" s="4" t="s">
        <v>31</v>
      </c>
      <c r="D123" s="4" t="s">
        <v>581</v>
      </c>
      <c r="E123" s="4" t="s">
        <v>582</v>
      </c>
      <c r="F123" s="4" t="s">
        <v>579</v>
      </c>
      <c r="G123" s="4" t="b">
        <v>1</v>
      </c>
      <c r="H123" s="4" t="s">
        <v>84</v>
      </c>
      <c r="I123" s="4" t="s">
        <v>584</v>
      </c>
      <c r="J123" s="4" t="s">
        <v>583</v>
      </c>
      <c r="K123" s="7">
        <v>13700</v>
      </c>
      <c r="L123" s="10">
        <v>117.24</v>
      </c>
      <c r="M123" s="5" t="s">
        <v>36</v>
      </c>
      <c r="N123" s="4">
        <v>78.5</v>
      </c>
      <c r="O123" s="13">
        <v>9.6</v>
      </c>
      <c r="P123" s="13">
        <v>36.6</v>
      </c>
      <c r="Q123" s="4">
        <v>328239523</v>
      </c>
    </row>
    <row r="124" spans="1:17" x14ac:dyDescent="0.3">
      <c r="A124" s="4">
        <v>130</v>
      </c>
      <c r="B124" s="4" t="s">
        <v>585</v>
      </c>
      <c r="C124" s="4" t="s">
        <v>31</v>
      </c>
      <c r="D124" s="4" t="s">
        <v>502</v>
      </c>
      <c r="E124" s="4" t="s">
        <v>586</v>
      </c>
      <c r="F124" s="4" t="s">
        <v>37</v>
      </c>
      <c r="G124" s="4" t="b">
        <v>1</v>
      </c>
      <c r="H124" s="4" t="s">
        <v>25</v>
      </c>
      <c r="I124" s="4" t="s">
        <v>588</v>
      </c>
      <c r="J124" s="4" t="s">
        <v>587</v>
      </c>
      <c r="K124" s="7">
        <v>13700</v>
      </c>
      <c r="L124" s="10">
        <v>117.24</v>
      </c>
      <c r="M124" s="5" t="s">
        <v>36</v>
      </c>
      <c r="N124" s="4">
        <v>78.5</v>
      </c>
      <c r="O124" s="13">
        <v>9.6</v>
      </c>
      <c r="P124" s="13">
        <v>36.6</v>
      </c>
      <c r="Q124" s="4">
        <v>328239523</v>
      </c>
    </row>
    <row r="125" spans="1:17" x14ac:dyDescent="0.3">
      <c r="A125" s="4">
        <v>133</v>
      </c>
      <c r="B125" s="4" t="s">
        <v>590</v>
      </c>
      <c r="C125" s="4" t="s">
        <v>31</v>
      </c>
      <c r="D125" s="4" t="s">
        <v>591</v>
      </c>
      <c r="E125" s="4" t="s">
        <v>592</v>
      </c>
      <c r="F125" s="4" t="s">
        <v>589</v>
      </c>
      <c r="G125" s="4" t="b">
        <v>1</v>
      </c>
      <c r="H125" s="4" t="s">
        <v>25</v>
      </c>
      <c r="I125" s="4" t="s">
        <v>594</v>
      </c>
      <c r="J125" s="4" t="s">
        <v>593</v>
      </c>
      <c r="K125" s="7">
        <v>13300</v>
      </c>
      <c r="L125" s="10">
        <v>117.24</v>
      </c>
      <c r="M125" s="5" t="s">
        <v>36</v>
      </c>
      <c r="N125" s="4">
        <v>78.5</v>
      </c>
      <c r="O125" s="13">
        <v>9.6</v>
      </c>
      <c r="P125" s="13">
        <v>36.6</v>
      </c>
      <c r="Q125" s="4">
        <v>328239523</v>
      </c>
    </row>
    <row r="126" spans="1:17" x14ac:dyDescent="0.3">
      <c r="A126" s="4">
        <v>133</v>
      </c>
      <c r="B126" s="4" t="s">
        <v>595</v>
      </c>
      <c r="C126" s="4" t="s">
        <v>31</v>
      </c>
      <c r="D126" s="4" t="s">
        <v>596</v>
      </c>
      <c r="E126" s="4" t="s">
        <v>597</v>
      </c>
      <c r="F126" s="4" t="s">
        <v>291</v>
      </c>
      <c r="G126" s="4" t="b">
        <v>0</v>
      </c>
      <c r="H126" s="4" t="s">
        <v>25</v>
      </c>
      <c r="I126" s="4" t="s">
        <v>599</v>
      </c>
      <c r="J126" s="4" t="s">
        <v>598</v>
      </c>
      <c r="K126" s="7">
        <v>13300</v>
      </c>
      <c r="L126" s="10">
        <v>117.24</v>
      </c>
      <c r="M126" s="5" t="s">
        <v>36</v>
      </c>
      <c r="N126" s="4">
        <v>78.5</v>
      </c>
      <c r="O126" s="13">
        <v>9.6</v>
      </c>
      <c r="P126" s="13">
        <v>36.6</v>
      </c>
      <c r="Q126" s="4">
        <v>328239523</v>
      </c>
    </row>
    <row r="127" spans="1:17" x14ac:dyDescent="0.3">
      <c r="A127" s="4">
        <v>136</v>
      </c>
      <c r="B127" s="4" t="s">
        <v>600</v>
      </c>
      <c r="C127" s="4" t="s">
        <v>104</v>
      </c>
      <c r="D127" s="4" t="s">
        <v>601</v>
      </c>
      <c r="E127" s="4" t="s">
        <v>602</v>
      </c>
      <c r="F127" s="4" t="s">
        <v>29</v>
      </c>
      <c r="G127" s="4" t="b">
        <v>1</v>
      </c>
      <c r="H127" s="4" t="s">
        <v>25</v>
      </c>
      <c r="I127" s="4" t="s">
        <v>604</v>
      </c>
      <c r="J127" s="4" t="s">
        <v>603</v>
      </c>
      <c r="K127" s="7">
        <v>13200</v>
      </c>
      <c r="L127" s="10">
        <v>125.08</v>
      </c>
      <c r="M127" s="5" t="s">
        <v>109</v>
      </c>
      <c r="N127" s="4">
        <v>77</v>
      </c>
      <c r="O127" s="13">
        <v>9.4</v>
      </c>
      <c r="P127" s="13">
        <v>59.2</v>
      </c>
      <c r="Q127" s="4">
        <v>1397715000</v>
      </c>
    </row>
    <row r="128" spans="1:17" x14ac:dyDescent="0.3">
      <c r="A128" s="4">
        <v>137</v>
      </c>
      <c r="B128" s="4" t="s">
        <v>605</v>
      </c>
      <c r="C128" s="4" t="s">
        <v>273</v>
      </c>
      <c r="D128" s="4" t="s">
        <v>606</v>
      </c>
      <c r="E128" s="4" t="s">
        <v>464</v>
      </c>
      <c r="F128" s="4" t="s">
        <v>461</v>
      </c>
      <c r="G128" s="4" t="b">
        <v>1</v>
      </c>
      <c r="H128" s="4" t="s">
        <v>25</v>
      </c>
      <c r="I128" s="4" t="s">
        <v>608</v>
      </c>
      <c r="J128" s="4" t="s">
        <v>607</v>
      </c>
      <c r="K128" s="7">
        <v>13100</v>
      </c>
      <c r="L128" s="10">
        <v>119.8</v>
      </c>
      <c r="M128" s="5" t="s">
        <v>278</v>
      </c>
      <c r="N128" s="4">
        <v>82.7</v>
      </c>
      <c r="O128" s="13">
        <v>23</v>
      </c>
      <c r="P128" s="13">
        <v>47.4</v>
      </c>
      <c r="Q128" s="4">
        <v>25766605</v>
      </c>
    </row>
    <row r="129" spans="1:17" x14ac:dyDescent="0.3">
      <c r="A129" s="4">
        <v>138</v>
      </c>
      <c r="B129" s="4" t="s">
        <v>609</v>
      </c>
      <c r="C129" s="4" t="s">
        <v>73</v>
      </c>
      <c r="D129" s="4" t="s">
        <v>74</v>
      </c>
      <c r="E129" s="4" t="s">
        <v>477</v>
      </c>
      <c r="F129" s="4" t="s">
        <v>48</v>
      </c>
      <c r="G129" s="4" t="b">
        <v>1</v>
      </c>
      <c r="H129" s="4" t="s">
        <v>25</v>
      </c>
      <c r="I129" s="4" t="s">
        <v>611</v>
      </c>
      <c r="J129" s="4" t="s">
        <v>610</v>
      </c>
      <c r="K129" s="7">
        <v>12900</v>
      </c>
      <c r="L129" s="10">
        <v>180.44</v>
      </c>
      <c r="M129" s="5" t="s">
        <v>77</v>
      </c>
      <c r="N129" s="4">
        <v>69.400000000000006</v>
      </c>
      <c r="O129" s="13">
        <v>11.2</v>
      </c>
      <c r="P129" s="13">
        <v>49.7</v>
      </c>
      <c r="Q129" s="4">
        <v>1366417754</v>
      </c>
    </row>
    <row r="130" spans="1:17" x14ac:dyDescent="0.3">
      <c r="A130" s="4">
        <v>138</v>
      </c>
      <c r="B130" s="4" t="s">
        <v>612</v>
      </c>
      <c r="C130" s="4" t="s">
        <v>31</v>
      </c>
      <c r="D130" s="4" t="s">
        <v>613</v>
      </c>
      <c r="E130" s="4" t="s">
        <v>614</v>
      </c>
      <c r="F130" s="4" t="s">
        <v>589</v>
      </c>
      <c r="G130" s="4" t="b">
        <v>1</v>
      </c>
      <c r="H130" s="4" t="s">
        <v>25</v>
      </c>
      <c r="I130" s="4" t="s">
        <v>616</v>
      </c>
      <c r="J130" s="4" t="s">
        <v>615</v>
      </c>
      <c r="K130" s="7">
        <v>12900</v>
      </c>
      <c r="L130" s="10">
        <v>117.24</v>
      </c>
      <c r="M130" s="5" t="s">
        <v>36</v>
      </c>
      <c r="N130" s="4">
        <v>78.5</v>
      </c>
      <c r="O130" s="13">
        <v>9.6</v>
      </c>
      <c r="P130" s="13">
        <v>36.6</v>
      </c>
      <c r="Q130" s="4">
        <v>328239523</v>
      </c>
    </row>
    <row r="131" spans="1:17" x14ac:dyDescent="0.3">
      <c r="A131" s="4">
        <v>140</v>
      </c>
      <c r="B131" s="4" t="s">
        <v>617</v>
      </c>
      <c r="C131" s="4" t="s">
        <v>225</v>
      </c>
      <c r="D131" s="4" t="s">
        <v>226</v>
      </c>
      <c r="E131" s="4" t="s">
        <v>618</v>
      </c>
      <c r="F131" s="4" t="s">
        <v>291</v>
      </c>
      <c r="G131" s="4" t="b">
        <v>1</v>
      </c>
      <c r="H131" s="4" t="s">
        <v>25</v>
      </c>
      <c r="I131" s="4" t="s">
        <v>620</v>
      </c>
      <c r="J131" s="4" t="s">
        <v>619</v>
      </c>
      <c r="K131" s="7">
        <v>12600</v>
      </c>
      <c r="L131" s="10">
        <v>119.62</v>
      </c>
      <c r="M131" s="5" t="s">
        <v>230</v>
      </c>
      <c r="N131" s="4">
        <v>81.3</v>
      </c>
      <c r="O131" s="13">
        <v>25.5</v>
      </c>
      <c r="P131" s="13">
        <v>30.6</v>
      </c>
      <c r="Q131" s="4">
        <v>66834405</v>
      </c>
    </row>
    <row r="132" spans="1:17" x14ac:dyDescent="0.3">
      <c r="A132" s="4">
        <v>141</v>
      </c>
      <c r="B132" s="4" t="s">
        <v>621</v>
      </c>
      <c r="C132" s="4" t="s">
        <v>531</v>
      </c>
      <c r="D132" s="4" t="s">
        <v>532</v>
      </c>
      <c r="E132" s="4" t="s">
        <v>291</v>
      </c>
      <c r="F132" s="4" t="s">
        <v>291</v>
      </c>
      <c r="G132" s="4" t="b">
        <v>1</v>
      </c>
      <c r="H132" s="4" t="s">
        <v>25</v>
      </c>
      <c r="I132" s="4" t="s">
        <v>623</v>
      </c>
      <c r="J132" s="4" t="s">
        <v>622</v>
      </c>
      <c r="K132" s="7">
        <v>12300</v>
      </c>
      <c r="L132" s="10">
        <v>113.27</v>
      </c>
      <c r="M132" s="5" t="s">
        <v>535</v>
      </c>
      <c r="N132" s="4">
        <v>76.900000000000006</v>
      </c>
      <c r="O132" s="13">
        <v>14.9</v>
      </c>
      <c r="P132" s="13">
        <v>29.5</v>
      </c>
      <c r="Q132" s="4">
        <v>69625582</v>
      </c>
    </row>
    <row r="133" spans="1:17" x14ac:dyDescent="0.3">
      <c r="A133" s="4">
        <v>142</v>
      </c>
      <c r="B133" s="4" t="s">
        <v>624</v>
      </c>
      <c r="C133" s="4" t="s">
        <v>104</v>
      </c>
      <c r="D133" s="4" t="s">
        <v>625</v>
      </c>
      <c r="E133" s="4" t="s">
        <v>295</v>
      </c>
      <c r="F133" s="4" t="s">
        <v>271</v>
      </c>
      <c r="G133" s="4" t="b">
        <v>1</v>
      </c>
      <c r="H133" s="4" t="s">
        <v>25</v>
      </c>
      <c r="I133" s="4" t="s">
        <v>627</v>
      </c>
      <c r="J133" s="4" t="s">
        <v>626</v>
      </c>
      <c r="K133" s="7">
        <v>12200</v>
      </c>
      <c r="L133" s="10">
        <v>125.08</v>
      </c>
      <c r="M133" s="5" t="s">
        <v>109</v>
      </c>
      <c r="N133" s="4">
        <v>77</v>
      </c>
      <c r="O133" s="13">
        <v>9.4</v>
      </c>
      <c r="P133" s="13">
        <v>59.2</v>
      </c>
      <c r="Q133" s="4">
        <v>1397715000</v>
      </c>
    </row>
    <row r="134" spans="1:17" x14ac:dyDescent="0.3">
      <c r="A134" s="4">
        <v>142</v>
      </c>
      <c r="B134" s="4" t="s">
        <v>628</v>
      </c>
      <c r="C134" s="4" t="s">
        <v>104</v>
      </c>
      <c r="D134" s="4" t="s">
        <v>629</v>
      </c>
      <c r="E134" s="4" t="s">
        <v>353</v>
      </c>
      <c r="F134" s="4" t="s">
        <v>350</v>
      </c>
      <c r="G134" s="4" t="b">
        <v>1</v>
      </c>
      <c r="H134" s="4" t="s">
        <v>25</v>
      </c>
      <c r="I134" s="4" t="s">
        <v>631</v>
      </c>
      <c r="J134" s="4" t="s">
        <v>630</v>
      </c>
      <c r="K134" s="7">
        <v>12200</v>
      </c>
      <c r="L134" s="10">
        <v>125.08</v>
      </c>
      <c r="M134" s="5" t="s">
        <v>109</v>
      </c>
      <c r="N134" s="4">
        <v>77</v>
      </c>
      <c r="O134" s="13">
        <v>9.4</v>
      </c>
      <c r="P134" s="13">
        <v>59.2</v>
      </c>
      <c r="Q134" s="4">
        <v>1397715000</v>
      </c>
    </row>
    <row r="135" spans="1:17" x14ac:dyDescent="0.3">
      <c r="A135" s="4">
        <v>144</v>
      </c>
      <c r="B135" s="4" t="s">
        <v>632</v>
      </c>
      <c r="C135" s="4" t="s">
        <v>31</v>
      </c>
      <c r="D135" s="4" t="s">
        <v>633</v>
      </c>
      <c r="E135" s="4" t="s">
        <v>634</v>
      </c>
      <c r="F135" s="4" t="s">
        <v>29</v>
      </c>
      <c r="G135" s="4" t="b">
        <v>1</v>
      </c>
      <c r="H135" s="4" t="s">
        <v>25</v>
      </c>
      <c r="I135" s="4" t="s">
        <v>636</v>
      </c>
      <c r="J135" s="4" t="s">
        <v>635</v>
      </c>
      <c r="K135" s="7">
        <v>12100</v>
      </c>
      <c r="L135" s="10">
        <v>117.24</v>
      </c>
      <c r="M135" s="5" t="s">
        <v>36</v>
      </c>
      <c r="N135" s="4">
        <v>78.5</v>
      </c>
      <c r="O135" s="13">
        <v>9.6</v>
      </c>
      <c r="P135" s="13">
        <v>36.6</v>
      </c>
      <c r="Q135" s="4">
        <v>328239523</v>
      </c>
    </row>
    <row r="136" spans="1:17" x14ac:dyDescent="0.3">
      <c r="A136" s="4">
        <v>145</v>
      </c>
      <c r="B136" s="4" t="s">
        <v>637</v>
      </c>
      <c r="C136" s="4" t="s">
        <v>31</v>
      </c>
      <c r="D136" s="4" t="s">
        <v>88</v>
      </c>
      <c r="E136" s="4" t="s">
        <v>638</v>
      </c>
      <c r="F136" s="4" t="s">
        <v>37</v>
      </c>
      <c r="G136" s="4" t="b">
        <v>0</v>
      </c>
      <c r="H136" s="4" t="s">
        <v>84</v>
      </c>
      <c r="I136" s="4" t="s">
        <v>640</v>
      </c>
      <c r="J136" s="4" t="s">
        <v>639</v>
      </c>
      <c r="K136" s="7">
        <v>12000</v>
      </c>
      <c r="L136" s="10">
        <v>117.24</v>
      </c>
      <c r="M136" s="5" t="s">
        <v>36</v>
      </c>
      <c r="N136" s="4">
        <v>78.5</v>
      </c>
      <c r="O136" s="13">
        <v>9.6</v>
      </c>
      <c r="P136" s="13">
        <v>36.6</v>
      </c>
      <c r="Q136" s="4">
        <v>328239523</v>
      </c>
    </row>
    <row r="137" spans="1:17" x14ac:dyDescent="0.3">
      <c r="A137" s="4">
        <v>147</v>
      </c>
      <c r="B137" s="4" t="s">
        <v>641</v>
      </c>
      <c r="C137" s="4" t="s">
        <v>31</v>
      </c>
      <c r="D137" s="4" t="s">
        <v>60</v>
      </c>
      <c r="E137" s="4" t="s">
        <v>464</v>
      </c>
      <c r="F137" s="4" t="s">
        <v>461</v>
      </c>
      <c r="G137" s="4" t="b">
        <v>1</v>
      </c>
      <c r="H137" s="4" t="s">
        <v>25</v>
      </c>
      <c r="I137" s="4" t="s">
        <v>265</v>
      </c>
      <c r="J137" s="4" t="s">
        <v>642</v>
      </c>
      <c r="K137" s="7">
        <v>11600</v>
      </c>
      <c r="L137" s="10">
        <v>117.24</v>
      </c>
      <c r="M137" s="5" t="s">
        <v>36</v>
      </c>
      <c r="N137" s="4">
        <v>78.5</v>
      </c>
      <c r="O137" s="13">
        <v>9.6</v>
      </c>
      <c r="P137" s="13">
        <v>36.6</v>
      </c>
      <c r="Q137" s="4">
        <v>328239523</v>
      </c>
    </row>
    <row r="138" spans="1:17" x14ac:dyDescent="0.3">
      <c r="A138" s="4">
        <v>148</v>
      </c>
      <c r="B138" s="4" t="s">
        <v>643</v>
      </c>
      <c r="C138" s="4" t="s">
        <v>305</v>
      </c>
      <c r="D138" s="4" t="s">
        <v>644</v>
      </c>
      <c r="E138" s="4" t="s">
        <v>645</v>
      </c>
      <c r="F138" s="4" t="s">
        <v>37</v>
      </c>
      <c r="G138" s="4" t="b">
        <v>1</v>
      </c>
      <c r="H138" s="4" t="s">
        <v>25</v>
      </c>
      <c r="I138" s="4" t="s">
        <v>647</v>
      </c>
      <c r="J138" s="4" t="s">
        <v>646</v>
      </c>
      <c r="K138" s="7">
        <v>11500</v>
      </c>
      <c r="L138" s="10">
        <v>114.52</v>
      </c>
      <c r="M138" s="5" t="s">
        <v>310</v>
      </c>
      <c r="N138" s="4">
        <v>77.8</v>
      </c>
      <c r="O138" s="13">
        <v>0.1</v>
      </c>
      <c r="P138" s="13">
        <v>15.9</v>
      </c>
      <c r="Q138" s="4">
        <v>9770529</v>
      </c>
    </row>
    <row r="139" spans="1:17" x14ac:dyDescent="0.3">
      <c r="A139" s="4">
        <v>148</v>
      </c>
      <c r="B139" s="4" t="s">
        <v>648</v>
      </c>
      <c r="C139" s="4" t="s">
        <v>157</v>
      </c>
      <c r="D139" s="4" t="s">
        <v>649</v>
      </c>
      <c r="E139" s="4" t="s">
        <v>516</v>
      </c>
      <c r="F139" s="4" t="s">
        <v>350</v>
      </c>
      <c r="G139" s="4" t="b">
        <v>1</v>
      </c>
      <c r="H139" s="4" t="s">
        <v>25</v>
      </c>
      <c r="I139" s="4" t="s">
        <v>651</v>
      </c>
      <c r="J139" s="4" t="s">
        <v>650</v>
      </c>
      <c r="K139" s="7">
        <v>11500</v>
      </c>
      <c r="L139" s="10">
        <v>112.85</v>
      </c>
      <c r="M139" s="5" t="s">
        <v>162</v>
      </c>
      <c r="N139" s="4">
        <v>80.900000000000006</v>
      </c>
      <c r="O139" s="13">
        <v>11.5</v>
      </c>
      <c r="P139" s="13">
        <v>48.8</v>
      </c>
      <c r="Q139" s="4">
        <v>83132799</v>
      </c>
    </row>
    <row r="140" spans="1:17" x14ac:dyDescent="0.3">
      <c r="A140" s="4">
        <v>148</v>
      </c>
      <c r="B140" s="4" t="s">
        <v>652</v>
      </c>
      <c r="C140" s="4" t="s">
        <v>157</v>
      </c>
      <c r="D140" s="4" t="s">
        <v>649</v>
      </c>
      <c r="E140" s="4" t="s">
        <v>516</v>
      </c>
      <c r="F140" s="4" t="s">
        <v>350</v>
      </c>
      <c r="G140" s="4" t="b">
        <v>1</v>
      </c>
      <c r="H140" s="4" t="s">
        <v>25</v>
      </c>
      <c r="I140" s="4" t="s">
        <v>303</v>
      </c>
      <c r="J140" s="4" t="s">
        <v>650</v>
      </c>
      <c r="K140" s="7">
        <v>11500</v>
      </c>
      <c r="L140" s="10">
        <v>112.85</v>
      </c>
      <c r="M140" s="5" t="s">
        <v>162</v>
      </c>
      <c r="N140" s="4">
        <v>80.900000000000006</v>
      </c>
      <c r="O140" s="13">
        <v>11.5</v>
      </c>
      <c r="P140" s="13">
        <v>48.8</v>
      </c>
      <c r="Q140" s="4">
        <v>83132799</v>
      </c>
    </row>
    <row r="141" spans="1:17" x14ac:dyDescent="0.3">
      <c r="A141" s="4">
        <v>151</v>
      </c>
      <c r="B141" s="4" t="s">
        <v>653</v>
      </c>
      <c r="C141" s="4" t="s">
        <v>104</v>
      </c>
      <c r="D141" s="4" t="s">
        <v>654</v>
      </c>
      <c r="E141" s="4" t="s">
        <v>655</v>
      </c>
      <c r="F141" s="4" t="s">
        <v>102</v>
      </c>
      <c r="G141" s="4" t="b">
        <v>1</v>
      </c>
      <c r="H141" s="4" t="s">
        <v>25</v>
      </c>
      <c r="I141" s="4" t="s">
        <v>657</v>
      </c>
      <c r="J141" s="4" t="s">
        <v>656</v>
      </c>
      <c r="K141" s="7">
        <v>11400</v>
      </c>
      <c r="L141" s="10">
        <v>125.08</v>
      </c>
      <c r="M141" s="5" t="s">
        <v>109</v>
      </c>
      <c r="N141" s="4">
        <v>77</v>
      </c>
      <c r="O141" s="13">
        <v>9.4</v>
      </c>
      <c r="P141" s="13">
        <v>59.2</v>
      </c>
      <c r="Q141" s="4">
        <v>1397715000</v>
      </c>
    </row>
    <row r="142" spans="1:17" x14ac:dyDescent="0.3">
      <c r="A142" s="4">
        <v>151</v>
      </c>
      <c r="B142" s="4" t="s">
        <v>658</v>
      </c>
      <c r="C142" s="4" t="s">
        <v>31</v>
      </c>
      <c r="D142" s="4" t="s">
        <v>659</v>
      </c>
      <c r="E142" s="4" t="s">
        <v>660</v>
      </c>
      <c r="F142" s="4" t="s">
        <v>20</v>
      </c>
      <c r="G142" s="4" t="b">
        <v>1</v>
      </c>
      <c r="H142" s="4" t="s">
        <v>25</v>
      </c>
      <c r="I142" s="4" t="s">
        <v>63</v>
      </c>
      <c r="J142" s="4" t="s">
        <v>661</v>
      </c>
      <c r="K142" s="7">
        <v>11400</v>
      </c>
      <c r="L142" s="10">
        <v>117.24</v>
      </c>
      <c r="M142" s="5" t="s">
        <v>36</v>
      </c>
      <c r="N142" s="4">
        <v>78.5</v>
      </c>
      <c r="O142" s="13">
        <v>9.6</v>
      </c>
      <c r="P142" s="13">
        <v>36.6</v>
      </c>
      <c r="Q142" s="4">
        <v>328239523</v>
      </c>
    </row>
    <row r="143" spans="1:17" x14ac:dyDescent="0.3">
      <c r="A143" s="4">
        <v>153</v>
      </c>
      <c r="B143" s="4" t="s">
        <v>662</v>
      </c>
      <c r="C143" s="4" t="s">
        <v>31</v>
      </c>
      <c r="D143" s="4" t="s">
        <v>60</v>
      </c>
      <c r="E143" s="4" t="s">
        <v>203</v>
      </c>
      <c r="F143" s="4" t="s">
        <v>48</v>
      </c>
      <c r="G143" s="4" t="b">
        <v>1</v>
      </c>
      <c r="H143" s="4" t="s">
        <v>25</v>
      </c>
      <c r="I143" s="4" t="s">
        <v>664</v>
      </c>
      <c r="J143" s="4" t="s">
        <v>663</v>
      </c>
      <c r="K143" s="7">
        <v>11300</v>
      </c>
      <c r="L143" s="10">
        <v>117.24</v>
      </c>
      <c r="M143" s="5" t="s">
        <v>36</v>
      </c>
      <c r="N143" s="4">
        <v>78.5</v>
      </c>
      <c r="O143" s="13">
        <v>9.6</v>
      </c>
      <c r="P143" s="13">
        <v>36.6</v>
      </c>
      <c r="Q143" s="4">
        <v>328239523</v>
      </c>
    </row>
    <row r="144" spans="1:17" x14ac:dyDescent="0.3">
      <c r="A144" s="4">
        <v>153</v>
      </c>
      <c r="B144" s="4" t="s">
        <v>665</v>
      </c>
      <c r="C144" s="4" t="s">
        <v>664</v>
      </c>
      <c r="D144" s="4" t="s">
        <v>666</v>
      </c>
      <c r="E144" s="4" t="s">
        <v>667</v>
      </c>
      <c r="F144" s="4" t="s">
        <v>249</v>
      </c>
      <c r="G144" s="4" t="b">
        <v>1</v>
      </c>
      <c r="H144" s="4" t="s">
        <v>25</v>
      </c>
      <c r="I144" s="4" t="s">
        <v>669</v>
      </c>
      <c r="J144" s="4" t="s">
        <v>668</v>
      </c>
      <c r="K144" s="7">
        <v>11300</v>
      </c>
      <c r="L144" s="10">
        <v>108.15</v>
      </c>
      <c r="M144" s="5" t="s">
        <v>670</v>
      </c>
      <c r="N144" s="4">
        <v>82.8</v>
      </c>
      <c r="O144" s="13">
        <v>23.1</v>
      </c>
      <c r="P144" s="13">
        <v>25.3</v>
      </c>
      <c r="Q144" s="4">
        <v>9053300</v>
      </c>
    </row>
    <row r="145" spans="1:17" x14ac:dyDescent="0.3">
      <c r="A145" s="4">
        <v>153</v>
      </c>
      <c r="B145" s="4" t="s">
        <v>671</v>
      </c>
      <c r="C145" s="4" t="s">
        <v>273</v>
      </c>
      <c r="D145" s="4" t="s">
        <v>672</v>
      </c>
      <c r="E145" s="4" t="s">
        <v>249</v>
      </c>
      <c r="F145" s="4" t="s">
        <v>249</v>
      </c>
      <c r="G145" s="4" t="b">
        <v>0</v>
      </c>
      <c r="H145" s="4" t="s">
        <v>25</v>
      </c>
      <c r="I145" s="4" t="s">
        <v>674</v>
      </c>
      <c r="J145" s="4" t="s">
        <v>673</v>
      </c>
      <c r="K145" s="7">
        <v>11300</v>
      </c>
      <c r="L145" s="10">
        <v>119.8</v>
      </c>
      <c r="M145" s="5" t="s">
        <v>278</v>
      </c>
      <c r="N145" s="4">
        <v>82.7</v>
      </c>
      <c r="O145" s="13">
        <v>23</v>
      </c>
      <c r="P145" s="13">
        <v>47.4</v>
      </c>
      <c r="Q145" s="4">
        <v>25766605</v>
      </c>
    </row>
    <row r="146" spans="1:17" x14ac:dyDescent="0.3">
      <c r="A146" s="4">
        <v>153</v>
      </c>
      <c r="B146" s="4" t="s">
        <v>675</v>
      </c>
      <c r="C146" s="4" t="s">
        <v>169</v>
      </c>
      <c r="D146" s="4" t="s">
        <v>676</v>
      </c>
      <c r="E146" s="4" t="s">
        <v>263</v>
      </c>
      <c r="F146" s="4" t="s">
        <v>48</v>
      </c>
      <c r="G146" s="4" t="b">
        <v>1</v>
      </c>
      <c r="H146" s="4" t="s">
        <v>25</v>
      </c>
      <c r="I146" s="4" t="s">
        <v>620</v>
      </c>
      <c r="J146" s="4" t="s">
        <v>677</v>
      </c>
      <c r="K146" s="7">
        <v>11300</v>
      </c>
      <c r="L146" s="10">
        <v>99.55</v>
      </c>
      <c r="M146" s="5" t="s">
        <v>174</v>
      </c>
      <c r="N146" s="4">
        <v>83.6</v>
      </c>
      <c r="O146" s="13">
        <v>10.1</v>
      </c>
      <c r="P146" s="13">
        <v>28.8</v>
      </c>
      <c r="Q146" s="4">
        <v>8574832</v>
      </c>
    </row>
    <row r="147" spans="1:17" x14ac:dyDescent="0.3">
      <c r="A147" s="4">
        <v>157</v>
      </c>
      <c r="B147" s="4" t="s">
        <v>678</v>
      </c>
      <c r="C147" s="4" t="s">
        <v>679</v>
      </c>
      <c r="D147" s="4" t="s">
        <v>680</v>
      </c>
      <c r="E147" s="4" t="s">
        <v>164</v>
      </c>
      <c r="F147" s="4" t="s">
        <v>20</v>
      </c>
      <c r="G147" s="4" t="b">
        <v>1</v>
      </c>
      <c r="H147" s="4" t="s">
        <v>25</v>
      </c>
      <c r="I147" s="4" t="s">
        <v>682</v>
      </c>
      <c r="J147" s="4" t="s">
        <v>681</v>
      </c>
      <c r="K147" s="7">
        <v>11100</v>
      </c>
      <c r="L147" s="10">
        <v>110.62</v>
      </c>
      <c r="M147" s="5" t="s">
        <v>683</v>
      </c>
      <c r="N147" s="4">
        <v>82.9</v>
      </c>
      <c r="O147" s="13">
        <v>24.3</v>
      </c>
      <c r="P147" s="13">
        <v>59.1</v>
      </c>
      <c r="Q147" s="4">
        <v>60297396</v>
      </c>
    </row>
    <row r="148" spans="1:17" x14ac:dyDescent="0.3">
      <c r="A148" s="4">
        <v>157</v>
      </c>
      <c r="B148" s="4" t="s">
        <v>684</v>
      </c>
      <c r="C148" s="4" t="s">
        <v>685</v>
      </c>
      <c r="D148" s="4" t="s">
        <v>686</v>
      </c>
      <c r="E148" s="4" t="s">
        <v>164</v>
      </c>
      <c r="F148" s="4" t="s">
        <v>20</v>
      </c>
      <c r="G148" s="4" t="b">
        <v>0</v>
      </c>
      <c r="H148" s="4" t="s">
        <v>25</v>
      </c>
      <c r="I148" s="4" t="s">
        <v>687</v>
      </c>
      <c r="J148" s="4" t="s">
        <v>474</v>
      </c>
      <c r="K148" s="7">
        <v>11100</v>
      </c>
      <c r="L148" s="10">
        <v>158.93</v>
      </c>
      <c r="M148" s="5" t="s">
        <v>688</v>
      </c>
      <c r="N148" s="4">
        <v>63.9</v>
      </c>
      <c r="O148" s="13">
        <v>27.5</v>
      </c>
      <c r="P148" s="13">
        <v>29.2</v>
      </c>
      <c r="Q148" s="4">
        <v>58558270</v>
      </c>
    </row>
    <row r="149" spans="1:17" x14ac:dyDescent="0.3">
      <c r="A149" s="4">
        <v>159</v>
      </c>
      <c r="B149" s="4" t="s">
        <v>689</v>
      </c>
      <c r="C149" s="4" t="s">
        <v>104</v>
      </c>
      <c r="D149" s="4" t="s">
        <v>191</v>
      </c>
      <c r="E149" s="4" t="s">
        <v>192</v>
      </c>
      <c r="F149" s="4" t="s">
        <v>37</v>
      </c>
      <c r="G149" s="4" t="b">
        <v>1</v>
      </c>
      <c r="H149" s="4" t="s">
        <v>25</v>
      </c>
      <c r="I149" s="4" t="s">
        <v>690</v>
      </c>
      <c r="J149" s="4" t="s">
        <v>154</v>
      </c>
      <c r="K149" s="7">
        <v>11000</v>
      </c>
      <c r="L149" s="10">
        <v>125.08</v>
      </c>
      <c r="M149" s="5" t="s">
        <v>109</v>
      </c>
      <c r="N149" s="4">
        <v>77</v>
      </c>
      <c r="O149" s="13">
        <v>9.4</v>
      </c>
      <c r="P149" s="13">
        <v>59.2</v>
      </c>
      <c r="Q149" s="4">
        <v>1397715000</v>
      </c>
    </row>
    <row r="150" spans="1:17" x14ac:dyDescent="0.3">
      <c r="A150" s="4">
        <v>161</v>
      </c>
      <c r="B150" s="4" t="s">
        <v>691</v>
      </c>
      <c r="C150" s="4" t="s">
        <v>31</v>
      </c>
      <c r="D150" s="4" t="s">
        <v>692</v>
      </c>
      <c r="E150" s="4" t="s">
        <v>693</v>
      </c>
      <c r="F150" s="4" t="s">
        <v>48</v>
      </c>
      <c r="G150" s="4" t="b">
        <v>0</v>
      </c>
      <c r="H150" s="4" t="s">
        <v>25</v>
      </c>
      <c r="I150" s="4" t="s">
        <v>695</v>
      </c>
      <c r="J150" s="4" t="s">
        <v>694</v>
      </c>
      <c r="K150" s="7">
        <v>10900</v>
      </c>
      <c r="L150" s="10">
        <v>117.24</v>
      </c>
      <c r="M150" s="5" t="s">
        <v>36</v>
      </c>
      <c r="N150" s="4">
        <v>78.5</v>
      </c>
      <c r="O150" s="13">
        <v>9.6</v>
      </c>
      <c r="P150" s="13">
        <v>36.6</v>
      </c>
      <c r="Q150" s="4">
        <v>328239523</v>
      </c>
    </row>
    <row r="151" spans="1:17" x14ac:dyDescent="0.3">
      <c r="A151" s="4">
        <v>161</v>
      </c>
      <c r="B151" s="4" t="s">
        <v>696</v>
      </c>
      <c r="C151" s="4" t="s">
        <v>31</v>
      </c>
      <c r="D151" s="4" t="s">
        <v>432</v>
      </c>
      <c r="E151" s="4" t="s">
        <v>697</v>
      </c>
      <c r="F151" s="4" t="s">
        <v>20</v>
      </c>
      <c r="G151" s="4" t="b">
        <v>1</v>
      </c>
      <c r="H151" s="4" t="s">
        <v>84</v>
      </c>
      <c r="I151" s="4" t="s">
        <v>699</v>
      </c>
      <c r="J151" s="4" t="s">
        <v>698</v>
      </c>
      <c r="K151" s="7">
        <v>10900</v>
      </c>
      <c r="L151" s="10">
        <v>117.24</v>
      </c>
      <c r="M151" s="5" t="s">
        <v>36</v>
      </c>
      <c r="N151" s="4">
        <v>78.5</v>
      </c>
      <c r="O151" s="13">
        <v>9.6</v>
      </c>
      <c r="P151" s="13">
        <v>36.6</v>
      </c>
      <c r="Q151" s="4">
        <v>328239523</v>
      </c>
    </row>
    <row r="152" spans="1:17" x14ac:dyDescent="0.3">
      <c r="A152" s="4">
        <v>161</v>
      </c>
      <c r="B152" s="4" t="s">
        <v>700</v>
      </c>
      <c r="C152" s="4" t="s">
        <v>66</v>
      </c>
      <c r="D152" s="4" t="s">
        <v>67</v>
      </c>
      <c r="E152" s="4" t="s">
        <v>701</v>
      </c>
      <c r="F152" s="4" t="s">
        <v>20</v>
      </c>
      <c r="G152" s="4" t="b">
        <v>0</v>
      </c>
      <c r="H152" s="4" t="s">
        <v>25</v>
      </c>
      <c r="I152" s="4" t="s">
        <v>703</v>
      </c>
      <c r="J152" s="4" t="s">
        <v>702</v>
      </c>
      <c r="K152" s="7">
        <v>10900</v>
      </c>
      <c r="L152" s="10">
        <v>141.54</v>
      </c>
      <c r="M152" s="5" t="s">
        <v>70</v>
      </c>
      <c r="N152" s="4">
        <v>75</v>
      </c>
      <c r="O152" s="13">
        <v>13.1</v>
      </c>
      <c r="P152" s="13">
        <v>55.1</v>
      </c>
      <c r="Q152" s="4">
        <v>126014024</v>
      </c>
    </row>
    <row r="153" spans="1:17" x14ac:dyDescent="0.3">
      <c r="A153" s="4">
        <v>164</v>
      </c>
      <c r="B153" s="4" t="s">
        <v>704</v>
      </c>
      <c r="C153" s="4" t="s">
        <v>31</v>
      </c>
      <c r="D153" s="4" t="s">
        <v>60</v>
      </c>
      <c r="E153" s="4" t="s">
        <v>134</v>
      </c>
      <c r="F153" s="4" t="s">
        <v>58</v>
      </c>
      <c r="G153" s="4" t="b">
        <v>0</v>
      </c>
      <c r="H153" s="4" t="s">
        <v>25</v>
      </c>
      <c r="I153" s="4" t="s">
        <v>466</v>
      </c>
      <c r="J153" s="4" t="s">
        <v>705</v>
      </c>
      <c r="K153" s="7">
        <v>10700</v>
      </c>
      <c r="L153" s="10">
        <v>117.24</v>
      </c>
      <c r="M153" s="5" t="s">
        <v>36</v>
      </c>
      <c r="N153" s="4">
        <v>78.5</v>
      </c>
      <c r="O153" s="13">
        <v>9.6</v>
      </c>
      <c r="P153" s="13">
        <v>36.6</v>
      </c>
      <c r="Q153" s="4">
        <v>328239523</v>
      </c>
    </row>
    <row r="154" spans="1:17" x14ac:dyDescent="0.3">
      <c r="A154" s="4">
        <v>165</v>
      </c>
      <c r="B154" s="4" t="s">
        <v>706</v>
      </c>
      <c r="C154" s="4" t="s">
        <v>31</v>
      </c>
      <c r="D154" s="4" t="s">
        <v>707</v>
      </c>
      <c r="E154" s="4" t="s">
        <v>708</v>
      </c>
      <c r="F154" s="4" t="s">
        <v>589</v>
      </c>
      <c r="G154" s="4" t="b">
        <v>1</v>
      </c>
      <c r="H154" s="4" t="s">
        <v>25</v>
      </c>
      <c r="I154" s="4" t="s">
        <v>523</v>
      </c>
      <c r="J154" s="4" t="s">
        <v>709</v>
      </c>
      <c r="K154" s="7">
        <v>10600</v>
      </c>
      <c r="L154" s="10">
        <v>117.24</v>
      </c>
      <c r="M154" s="5" t="s">
        <v>36</v>
      </c>
      <c r="N154" s="4">
        <v>78.5</v>
      </c>
      <c r="O154" s="13">
        <v>9.6</v>
      </c>
      <c r="P154" s="13">
        <v>36.6</v>
      </c>
      <c r="Q154" s="4">
        <v>328239523</v>
      </c>
    </row>
    <row r="155" spans="1:17" x14ac:dyDescent="0.3">
      <c r="A155" s="4">
        <v>165</v>
      </c>
      <c r="B155" s="4" t="s">
        <v>710</v>
      </c>
      <c r="C155" s="4" t="s">
        <v>711</v>
      </c>
      <c r="D155" s="4" t="s">
        <v>712</v>
      </c>
      <c r="E155" s="4" t="s">
        <v>512</v>
      </c>
      <c r="F155" s="4" t="s">
        <v>102</v>
      </c>
      <c r="G155" s="4" t="b">
        <v>1</v>
      </c>
      <c r="H155" s="4" t="s">
        <v>25</v>
      </c>
      <c r="I155" s="4" t="s">
        <v>714</v>
      </c>
      <c r="J155" s="4" t="s">
        <v>713</v>
      </c>
      <c r="K155" s="7">
        <v>10600</v>
      </c>
      <c r="L155" s="10">
        <v>167.4</v>
      </c>
      <c r="M155" s="5" t="s">
        <v>715</v>
      </c>
      <c r="N155" s="4">
        <v>75.7</v>
      </c>
      <c r="O155" s="13">
        <v>14.2</v>
      </c>
      <c r="P155" s="13">
        <v>65.099999999999994</v>
      </c>
      <c r="Q155" s="4">
        <v>212559417</v>
      </c>
    </row>
    <row r="156" spans="1:17" x14ac:dyDescent="0.3">
      <c r="A156" s="4">
        <v>167</v>
      </c>
      <c r="B156" s="4" t="s">
        <v>716</v>
      </c>
      <c r="C156" s="4" t="s">
        <v>326</v>
      </c>
      <c r="D156" s="4" t="s">
        <v>327</v>
      </c>
      <c r="E156" s="4" t="s">
        <v>717</v>
      </c>
      <c r="F156" s="4" t="s">
        <v>48</v>
      </c>
      <c r="G156" s="4" t="b">
        <v>1</v>
      </c>
      <c r="H156" s="4" t="s">
        <v>25</v>
      </c>
      <c r="I156" s="4" t="s">
        <v>719</v>
      </c>
      <c r="J156" s="4" t="s">
        <v>718</v>
      </c>
      <c r="K156" s="7">
        <v>10500</v>
      </c>
      <c r="L156" s="10">
        <v>180.75</v>
      </c>
      <c r="M156" s="5" t="s">
        <v>331</v>
      </c>
      <c r="N156" s="4">
        <v>72.7</v>
      </c>
      <c r="O156" s="13">
        <v>11.4</v>
      </c>
      <c r="P156" s="13">
        <v>46.2</v>
      </c>
      <c r="Q156" s="4">
        <v>144373535</v>
      </c>
    </row>
    <row r="157" spans="1:17" x14ac:dyDescent="0.3">
      <c r="A157" s="4">
        <v>167</v>
      </c>
      <c r="B157" s="4" t="s">
        <v>720</v>
      </c>
      <c r="C157" s="4" t="s">
        <v>104</v>
      </c>
      <c r="D157" s="4" t="s">
        <v>601</v>
      </c>
      <c r="E157" s="4" t="s">
        <v>246</v>
      </c>
      <c r="F157" s="4" t="s">
        <v>20</v>
      </c>
      <c r="G157" s="4" t="b">
        <v>1</v>
      </c>
      <c r="H157" s="4" t="s">
        <v>25</v>
      </c>
      <c r="I157" s="4" t="s">
        <v>721</v>
      </c>
      <c r="J157" s="4" t="s">
        <v>548</v>
      </c>
      <c r="K157" s="7">
        <v>10500</v>
      </c>
      <c r="L157" s="10">
        <v>125.08</v>
      </c>
      <c r="M157" s="5" t="s">
        <v>109</v>
      </c>
      <c r="N157" s="4">
        <v>77</v>
      </c>
      <c r="O157" s="13">
        <v>9.4</v>
      </c>
      <c r="P157" s="13">
        <v>59.2</v>
      </c>
      <c r="Q157" s="4">
        <v>1397715000</v>
      </c>
    </row>
    <row r="158" spans="1:17" x14ac:dyDescent="0.3">
      <c r="A158" s="4">
        <v>167</v>
      </c>
      <c r="B158" s="4" t="s">
        <v>722</v>
      </c>
      <c r="C158" s="4" t="s">
        <v>305</v>
      </c>
      <c r="D158" s="4" t="s">
        <v>644</v>
      </c>
      <c r="E158" s="4" t="s">
        <v>723</v>
      </c>
      <c r="F158" s="4" t="s">
        <v>48</v>
      </c>
      <c r="G158" s="4" t="b">
        <v>1</v>
      </c>
      <c r="H158" s="4" t="s">
        <v>25</v>
      </c>
      <c r="I158" s="4" t="s">
        <v>725</v>
      </c>
      <c r="J158" s="4" t="s">
        <v>724</v>
      </c>
      <c r="K158" s="7">
        <v>10500</v>
      </c>
      <c r="L158" s="10">
        <v>114.52</v>
      </c>
      <c r="M158" s="5" t="s">
        <v>310</v>
      </c>
      <c r="N158" s="4">
        <v>77.8</v>
      </c>
      <c r="O158" s="13">
        <v>0.1</v>
      </c>
      <c r="P158" s="13">
        <v>15.9</v>
      </c>
      <c r="Q158" s="4">
        <v>9770529</v>
      </c>
    </row>
    <row r="159" spans="1:17" x14ac:dyDescent="0.3">
      <c r="A159" s="4">
        <v>170</v>
      </c>
      <c r="B159" s="4" t="s">
        <v>726</v>
      </c>
      <c r="C159" s="4" t="s">
        <v>31</v>
      </c>
      <c r="D159" s="4" t="s">
        <v>591</v>
      </c>
      <c r="E159" s="4" t="s">
        <v>727</v>
      </c>
      <c r="F159" s="4" t="s">
        <v>48</v>
      </c>
      <c r="G159" s="4" t="b">
        <v>1</v>
      </c>
      <c r="H159" s="4" t="s">
        <v>25</v>
      </c>
      <c r="I159" s="4" t="s">
        <v>411</v>
      </c>
      <c r="J159" s="4" t="s">
        <v>728</v>
      </c>
      <c r="K159" s="7">
        <v>10300</v>
      </c>
      <c r="L159" s="10">
        <v>117.24</v>
      </c>
      <c r="M159" s="5" t="s">
        <v>36</v>
      </c>
      <c r="N159" s="4">
        <v>78.5</v>
      </c>
      <c r="O159" s="13">
        <v>9.6</v>
      </c>
      <c r="P159" s="13">
        <v>36.6</v>
      </c>
      <c r="Q159" s="4">
        <v>328239523</v>
      </c>
    </row>
    <row r="160" spans="1:17" x14ac:dyDescent="0.3">
      <c r="A160" s="4">
        <v>171</v>
      </c>
      <c r="B160" s="4" t="s">
        <v>729</v>
      </c>
      <c r="C160" s="4" t="s">
        <v>273</v>
      </c>
      <c r="D160" s="4" t="s">
        <v>606</v>
      </c>
      <c r="E160" s="4" t="s">
        <v>730</v>
      </c>
      <c r="F160" s="4" t="s">
        <v>37</v>
      </c>
      <c r="G160" s="4" t="b">
        <v>1</v>
      </c>
      <c r="H160" s="4" t="s">
        <v>25</v>
      </c>
      <c r="I160" s="4" t="s">
        <v>732</v>
      </c>
      <c r="J160" s="4" t="s">
        <v>731</v>
      </c>
      <c r="K160" s="7">
        <v>10200</v>
      </c>
      <c r="L160" s="10">
        <v>119.8</v>
      </c>
      <c r="M160" s="5" t="s">
        <v>278</v>
      </c>
      <c r="N160" s="4">
        <v>82.7</v>
      </c>
      <c r="O160" s="13">
        <v>23</v>
      </c>
      <c r="P160" s="13">
        <v>47.4</v>
      </c>
      <c r="Q160" s="4">
        <v>25766605</v>
      </c>
    </row>
    <row r="161" spans="1:17" x14ac:dyDescent="0.3">
      <c r="A161" s="4">
        <v>171</v>
      </c>
      <c r="B161" s="4" t="s">
        <v>733</v>
      </c>
      <c r="C161" s="4" t="s">
        <v>31</v>
      </c>
      <c r="D161" s="4" t="s">
        <v>734</v>
      </c>
      <c r="E161" s="4" t="s">
        <v>547</v>
      </c>
      <c r="F161" s="4" t="s">
        <v>350</v>
      </c>
      <c r="G161" s="4" t="b">
        <v>0</v>
      </c>
      <c r="H161" s="4" t="s">
        <v>25</v>
      </c>
      <c r="I161" s="4" t="s">
        <v>456</v>
      </c>
      <c r="J161" s="4" t="s">
        <v>735</v>
      </c>
      <c r="K161" s="7">
        <v>10200</v>
      </c>
      <c r="L161" s="10">
        <v>117.24</v>
      </c>
      <c r="M161" s="5" t="s">
        <v>36</v>
      </c>
      <c r="N161" s="4">
        <v>78.5</v>
      </c>
      <c r="O161" s="13">
        <v>9.6</v>
      </c>
      <c r="P161" s="13">
        <v>36.6</v>
      </c>
      <c r="Q161" s="4">
        <v>328239523</v>
      </c>
    </row>
    <row r="162" spans="1:17" x14ac:dyDescent="0.3">
      <c r="A162" s="4">
        <v>171</v>
      </c>
      <c r="B162" s="4" t="s">
        <v>736</v>
      </c>
      <c r="C162" s="4" t="s">
        <v>31</v>
      </c>
      <c r="D162" s="4" t="s">
        <v>737</v>
      </c>
      <c r="E162" s="4" t="s">
        <v>738</v>
      </c>
      <c r="F162" s="4" t="s">
        <v>37</v>
      </c>
      <c r="G162" s="4" t="b">
        <v>1</v>
      </c>
      <c r="H162" s="4" t="s">
        <v>25</v>
      </c>
      <c r="I162" s="4" t="s">
        <v>136</v>
      </c>
      <c r="J162" s="4" t="s">
        <v>739</v>
      </c>
      <c r="K162" s="7">
        <v>10200</v>
      </c>
      <c r="L162" s="10">
        <v>117.24</v>
      </c>
      <c r="M162" s="5" t="s">
        <v>36</v>
      </c>
      <c r="N162" s="4">
        <v>78.5</v>
      </c>
      <c r="O162" s="13">
        <v>9.6</v>
      </c>
      <c r="P162" s="13">
        <v>36.6</v>
      </c>
      <c r="Q162" s="4">
        <v>328239523</v>
      </c>
    </row>
    <row r="163" spans="1:17" x14ac:dyDescent="0.3">
      <c r="A163" s="4">
        <v>171</v>
      </c>
      <c r="B163" s="4" t="s">
        <v>740</v>
      </c>
      <c r="C163" s="4" t="s">
        <v>31</v>
      </c>
      <c r="D163" s="4" t="s">
        <v>741</v>
      </c>
      <c r="E163" s="4" t="s">
        <v>402</v>
      </c>
      <c r="F163" s="4" t="s">
        <v>291</v>
      </c>
      <c r="G163" s="4" t="b">
        <v>1</v>
      </c>
      <c r="H163" s="4" t="s">
        <v>25</v>
      </c>
      <c r="I163" s="4" t="s">
        <v>743</v>
      </c>
      <c r="J163" s="4" t="s">
        <v>742</v>
      </c>
      <c r="K163" s="7">
        <v>10200</v>
      </c>
      <c r="L163" s="10">
        <v>117.24</v>
      </c>
      <c r="M163" s="5" t="s">
        <v>36</v>
      </c>
      <c r="N163" s="4">
        <v>78.5</v>
      </c>
      <c r="O163" s="13">
        <v>9.6</v>
      </c>
      <c r="P163" s="13">
        <v>36.6</v>
      </c>
      <c r="Q163" s="4">
        <v>328239523</v>
      </c>
    </row>
    <row r="164" spans="1:17" x14ac:dyDescent="0.3">
      <c r="A164" s="4">
        <v>171</v>
      </c>
      <c r="B164" s="4" t="s">
        <v>744</v>
      </c>
      <c r="C164" s="4" t="s">
        <v>326</v>
      </c>
      <c r="D164" s="4" t="s">
        <v>745</v>
      </c>
      <c r="E164" s="4" t="s">
        <v>448</v>
      </c>
      <c r="F164" s="4" t="s">
        <v>249</v>
      </c>
      <c r="G164" s="4" t="b">
        <v>1</v>
      </c>
      <c r="H164" s="4" t="s">
        <v>25</v>
      </c>
      <c r="I164" s="4" t="s">
        <v>747</v>
      </c>
      <c r="J164" s="4" t="s">
        <v>746</v>
      </c>
      <c r="K164" s="7">
        <v>10200</v>
      </c>
      <c r="L164" s="10">
        <v>180.75</v>
      </c>
      <c r="M164" s="5" t="s">
        <v>331</v>
      </c>
      <c r="N164" s="4">
        <v>72.7</v>
      </c>
      <c r="O164" s="13">
        <v>11.4</v>
      </c>
      <c r="P164" s="13">
        <v>46.2</v>
      </c>
      <c r="Q164" s="4">
        <v>144373535</v>
      </c>
    </row>
    <row r="165" spans="1:17" x14ac:dyDescent="0.3">
      <c r="A165" s="4">
        <v>171</v>
      </c>
      <c r="B165" s="4" t="s">
        <v>748</v>
      </c>
      <c r="C165" s="4" t="s">
        <v>554</v>
      </c>
      <c r="D165" s="4" t="s">
        <v>554</v>
      </c>
      <c r="E165" s="4" t="s">
        <v>111</v>
      </c>
      <c r="F165" s="4" t="s">
        <v>37</v>
      </c>
      <c r="G165" s="4" t="b">
        <v>1</v>
      </c>
      <c r="H165" s="4" t="s">
        <v>25</v>
      </c>
      <c r="I165" s="4" t="s">
        <v>750</v>
      </c>
      <c r="J165" s="4" t="s">
        <v>749</v>
      </c>
      <c r="K165" s="7">
        <v>10200</v>
      </c>
      <c r="L165" s="10">
        <v>114.41</v>
      </c>
      <c r="M165" s="5" t="s">
        <v>558</v>
      </c>
      <c r="N165" s="4">
        <v>83.1</v>
      </c>
      <c r="O165" s="13">
        <v>13.1</v>
      </c>
      <c r="P165" s="13">
        <v>21</v>
      </c>
      <c r="Q165" s="4">
        <v>5703569</v>
      </c>
    </row>
    <row r="166" spans="1:17" x14ac:dyDescent="0.3">
      <c r="A166" s="4">
        <v>171</v>
      </c>
      <c r="B166" s="4" t="s">
        <v>751</v>
      </c>
      <c r="C166" s="4" t="s">
        <v>157</v>
      </c>
      <c r="D166" s="4" t="s">
        <v>752</v>
      </c>
      <c r="E166" s="4" t="s">
        <v>634</v>
      </c>
      <c r="F166" s="4" t="s">
        <v>29</v>
      </c>
      <c r="G166" s="4" t="b">
        <v>0</v>
      </c>
      <c r="H166" s="4" t="s">
        <v>25</v>
      </c>
      <c r="I166" s="4" t="s">
        <v>754</v>
      </c>
      <c r="J166" s="4" t="s">
        <v>753</v>
      </c>
      <c r="K166" s="7">
        <v>10200</v>
      </c>
      <c r="L166" s="10">
        <v>112.85</v>
      </c>
      <c r="M166" s="5" t="s">
        <v>162</v>
      </c>
      <c r="N166" s="4">
        <v>80.900000000000006</v>
      </c>
      <c r="O166" s="13">
        <v>11.5</v>
      </c>
      <c r="P166" s="13">
        <v>48.8</v>
      </c>
      <c r="Q166" s="4">
        <v>83132799</v>
      </c>
    </row>
    <row r="167" spans="1:17" x14ac:dyDescent="0.3">
      <c r="A167" s="4">
        <v>171</v>
      </c>
      <c r="B167" s="4" t="s">
        <v>755</v>
      </c>
      <c r="C167" s="4" t="s">
        <v>31</v>
      </c>
      <c r="D167" s="4" t="s">
        <v>188</v>
      </c>
      <c r="E167" s="4" t="s">
        <v>123</v>
      </c>
      <c r="F167" s="4" t="s">
        <v>20</v>
      </c>
      <c r="G167" s="4" t="b">
        <v>0</v>
      </c>
      <c r="H167" s="4" t="s">
        <v>84</v>
      </c>
      <c r="I167" s="4" t="s">
        <v>756</v>
      </c>
      <c r="J167" s="4" t="s">
        <v>124</v>
      </c>
      <c r="K167" s="7">
        <v>10200</v>
      </c>
      <c r="L167" s="10">
        <v>117.24</v>
      </c>
      <c r="M167" s="5" t="s">
        <v>36</v>
      </c>
      <c r="N167" s="4">
        <v>78.5</v>
      </c>
      <c r="O167" s="13">
        <v>9.6</v>
      </c>
      <c r="P167" s="13">
        <v>36.6</v>
      </c>
      <c r="Q167" s="4">
        <v>328239523</v>
      </c>
    </row>
    <row r="168" spans="1:17" x14ac:dyDescent="0.3">
      <c r="A168" s="4">
        <v>179</v>
      </c>
      <c r="B168" s="4" t="s">
        <v>757</v>
      </c>
      <c r="C168" s="4" t="s">
        <v>273</v>
      </c>
      <c r="D168" s="4" t="s">
        <v>606</v>
      </c>
      <c r="E168" s="4" t="s">
        <v>730</v>
      </c>
      <c r="F168" s="4" t="s">
        <v>37</v>
      </c>
      <c r="G168" s="4" t="b">
        <v>1</v>
      </c>
      <c r="H168" s="4" t="s">
        <v>25</v>
      </c>
      <c r="I168" s="4" t="s">
        <v>318</v>
      </c>
      <c r="J168" s="4" t="s">
        <v>758</v>
      </c>
      <c r="K168" s="7">
        <v>10100</v>
      </c>
      <c r="L168" s="10">
        <v>119.8</v>
      </c>
      <c r="M168" s="5" t="s">
        <v>278</v>
      </c>
      <c r="N168" s="4">
        <v>82.7</v>
      </c>
      <c r="O168" s="13">
        <v>23</v>
      </c>
      <c r="P168" s="13">
        <v>47.4</v>
      </c>
      <c r="Q168" s="4">
        <v>25766605</v>
      </c>
    </row>
    <row r="169" spans="1:17" x14ac:dyDescent="0.3">
      <c r="A169" s="4">
        <v>179</v>
      </c>
      <c r="B169" s="4" t="s">
        <v>759</v>
      </c>
      <c r="C169" s="4" t="s">
        <v>760</v>
      </c>
      <c r="D169" s="4" t="s">
        <v>761</v>
      </c>
      <c r="E169" s="4" t="s">
        <v>762</v>
      </c>
      <c r="F169" s="4" t="s">
        <v>71</v>
      </c>
      <c r="G169" s="4" t="b">
        <v>0</v>
      </c>
      <c r="H169" s="4" t="s">
        <v>25</v>
      </c>
      <c r="I169" s="4" t="s">
        <v>764</v>
      </c>
      <c r="J169" s="4" t="s">
        <v>763</v>
      </c>
      <c r="K169" s="7">
        <v>10100</v>
      </c>
      <c r="L169" s="10">
        <v>121.46</v>
      </c>
      <c r="M169" s="5" t="s">
        <v>765</v>
      </c>
      <c r="N169" s="4">
        <v>76</v>
      </c>
      <c r="O169" s="13">
        <v>12</v>
      </c>
      <c r="P169" s="13">
        <v>38.700000000000003</v>
      </c>
      <c r="Q169" s="4">
        <v>32447385</v>
      </c>
    </row>
    <row r="170" spans="1:17" x14ac:dyDescent="0.3">
      <c r="A170" s="4">
        <v>179</v>
      </c>
      <c r="B170" s="4" t="s">
        <v>766</v>
      </c>
      <c r="C170" s="4" t="s">
        <v>104</v>
      </c>
      <c r="D170" s="4" t="s">
        <v>152</v>
      </c>
      <c r="E170" s="4" t="s">
        <v>464</v>
      </c>
      <c r="F170" s="4" t="s">
        <v>461</v>
      </c>
      <c r="G170" s="4" t="b">
        <v>1</v>
      </c>
      <c r="H170" s="4" t="s">
        <v>84</v>
      </c>
      <c r="I170" s="4" t="s">
        <v>768</v>
      </c>
      <c r="J170" s="4" t="s">
        <v>767</v>
      </c>
      <c r="K170" s="7">
        <v>10100</v>
      </c>
      <c r="L170" s="10">
        <v>125.08</v>
      </c>
      <c r="M170" s="5" t="s">
        <v>109</v>
      </c>
      <c r="N170" s="4">
        <v>77</v>
      </c>
      <c r="O170" s="13">
        <v>9.4</v>
      </c>
      <c r="P170" s="13">
        <v>59.2</v>
      </c>
      <c r="Q170" s="4">
        <v>1397715000</v>
      </c>
    </row>
    <row r="171" spans="1:17" x14ac:dyDescent="0.3">
      <c r="A171" s="4">
        <v>182</v>
      </c>
      <c r="B171" s="4" t="s">
        <v>769</v>
      </c>
      <c r="C171" s="4" t="s">
        <v>31</v>
      </c>
      <c r="D171" s="4" t="s">
        <v>770</v>
      </c>
      <c r="E171" s="4" t="s">
        <v>402</v>
      </c>
      <c r="F171" s="4" t="s">
        <v>291</v>
      </c>
      <c r="G171" s="4" t="b">
        <v>1</v>
      </c>
      <c r="H171" s="4" t="s">
        <v>25</v>
      </c>
      <c r="I171" s="4" t="s">
        <v>772</v>
      </c>
      <c r="J171" s="4" t="s">
        <v>771</v>
      </c>
      <c r="K171" s="7">
        <v>10000</v>
      </c>
      <c r="L171" s="10">
        <v>117.24</v>
      </c>
      <c r="M171" s="5" t="s">
        <v>36</v>
      </c>
      <c r="N171" s="4">
        <v>78.5</v>
      </c>
      <c r="O171" s="13">
        <v>9.6</v>
      </c>
      <c r="P171" s="13">
        <v>36.6</v>
      </c>
      <c r="Q171" s="4">
        <v>328239523</v>
      </c>
    </row>
    <row r="172" spans="1:17" x14ac:dyDescent="0.3">
      <c r="A172" s="4">
        <v>183</v>
      </c>
      <c r="B172" s="4" t="s">
        <v>773</v>
      </c>
      <c r="C172" s="4" t="s">
        <v>104</v>
      </c>
      <c r="D172" s="4" t="s">
        <v>245</v>
      </c>
      <c r="E172" s="4" t="s">
        <v>71</v>
      </c>
      <c r="F172" s="4" t="s">
        <v>380</v>
      </c>
      <c r="G172" s="4" t="b">
        <v>1</v>
      </c>
      <c r="H172" s="4" t="s">
        <v>25</v>
      </c>
      <c r="I172" s="4" t="s">
        <v>774</v>
      </c>
      <c r="J172" s="4" t="s">
        <v>656</v>
      </c>
      <c r="K172" s="7">
        <v>9900</v>
      </c>
      <c r="L172" s="10">
        <v>125.08</v>
      </c>
      <c r="M172" s="5" t="s">
        <v>109</v>
      </c>
      <c r="N172" s="4">
        <v>77</v>
      </c>
      <c r="O172" s="13">
        <v>9.4</v>
      </c>
      <c r="P172" s="13">
        <v>59.2</v>
      </c>
      <c r="Q172" s="4">
        <v>1397715000</v>
      </c>
    </row>
    <row r="173" spans="1:17" x14ac:dyDescent="0.3">
      <c r="A173" s="4">
        <v>184</v>
      </c>
      <c r="B173" s="4" t="s">
        <v>775</v>
      </c>
      <c r="C173" s="4" t="s">
        <v>305</v>
      </c>
      <c r="D173" s="4" t="s">
        <v>644</v>
      </c>
      <c r="E173" s="4" t="s">
        <v>143</v>
      </c>
      <c r="F173" s="4" t="s">
        <v>71</v>
      </c>
      <c r="G173" s="4" t="b">
        <v>1</v>
      </c>
      <c r="H173" s="4" t="s">
        <v>25</v>
      </c>
      <c r="I173" s="4" t="s">
        <v>776</v>
      </c>
      <c r="J173" s="4" t="s">
        <v>144</v>
      </c>
      <c r="K173" s="7">
        <v>9800</v>
      </c>
      <c r="L173" s="10">
        <v>114.52</v>
      </c>
      <c r="M173" s="5" t="s">
        <v>310</v>
      </c>
      <c r="N173" s="4">
        <v>77.8</v>
      </c>
      <c r="O173" s="13">
        <v>0.1</v>
      </c>
      <c r="P173" s="13">
        <v>15.9</v>
      </c>
      <c r="Q173" s="4">
        <v>9770529</v>
      </c>
    </row>
    <row r="174" spans="1:17" x14ac:dyDescent="0.3">
      <c r="A174" s="4">
        <v>184</v>
      </c>
      <c r="B174" s="4" t="s">
        <v>777</v>
      </c>
      <c r="C174" s="4" t="s">
        <v>169</v>
      </c>
      <c r="D174" s="4" t="s">
        <v>778</v>
      </c>
      <c r="E174" s="4" t="s">
        <v>779</v>
      </c>
      <c r="F174" s="4" t="s">
        <v>20</v>
      </c>
      <c r="G174" s="4" t="b">
        <v>0</v>
      </c>
      <c r="H174" s="4" t="s">
        <v>25</v>
      </c>
      <c r="I174" s="4" t="s">
        <v>781</v>
      </c>
      <c r="J174" s="4" t="s">
        <v>780</v>
      </c>
      <c r="K174" s="7">
        <v>9800</v>
      </c>
      <c r="L174" s="10">
        <v>99.55</v>
      </c>
      <c r="M174" s="5" t="s">
        <v>174</v>
      </c>
      <c r="N174" s="4">
        <v>83.6</v>
      </c>
      <c r="O174" s="13">
        <v>10.1</v>
      </c>
      <c r="P174" s="13">
        <v>28.8</v>
      </c>
      <c r="Q174" s="4">
        <v>8574832</v>
      </c>
    </row>
    <row r="175" spans="1:17" x14ac:dyDescent="0.3">
      <c r="A175" s="4">
        <v>184</v>
      </c>
      <c r="B175" s="4" t="s">
        <v>782</v>
      </c>
      <c r="C175" s="4" t="s">
        <v>22</v>
      </c>
      <c r="D175" s="4" t="s">
        <v>783</v>
      </c>
      <c r="E175" s="4" t="s">
        <v>171</v>
      </c>
      <c r="F175" s="4" t="s">
        <v>167</v>
      </c>
      <c r="G175" s="4" t="b">
        <v>0</v>
      </c>
      <c r="H175" s="4" t="s">
        <v>25</v>
      </c>
      <c r="I175" s="4" t="s">
        <v>785</v>
      </c>
      <c r="J175" s="4" t="s">
        <v>784</v>
      </c>
      <c r="K175" s="7">
        <v>9800</v>
      </c>
      <c r="L175" s="10">
        <v>110.05</v>
      </c>
      <c r="M175" s="5" t="s">
        <v>28</v>
      </c>
      <c r="N175" s="4">
        <v>82.5</v>
      </c>
      <c r="O175" s="13">
        <v>24.2</v>
      </c>
      <c r="P175" s="13">
        <v>60.7</v>
      </c>
      <c r="Q175" s="4">
        <v>67059887</v>
      </c>
    </row>
    <row r="176" spans="1:17" x14ac:dyDescent="0.3">
      <c r="A176" s="4">
        <v>184</v>
      </c>
      <c r="B176" s="4" t="s">
        <v>786</v>
      </c>
      <c r="C176" s="4" t="s">
        <v>22</v>
      </c>
      <c r="D176" s="4" t="s">
        <v>783</v>
      </c>
      <c r="E176" s="4" t="s">
        <v>171</v>
      </c>
      <c r="F176" s="4" t="s">
        <v>167</v>
      </c>
      <c r="G176" s="4" t="b">
        <v>0</v>
      </c>
      <c r="H176" s="4" t="s">
        <v>25</v>
      </c>
      <c r="I176" s="4" t="s">
        <v>787</v>
      </c>
      <c r="J176" s="4" t="s">
        <v>784</v>
      </c>
      <c r="K176" s="7">
        <v>9800</v>
      </c>
      <c r="L176" s="10">
        <v>110.05</v>
      </c>
      <c r="M176" s="5" t="s">
        <v>28</v>
      </c>
      <c r="N176" s="4">
        <v>82.5</v>
      </c>
      <c r="O176" s="13">
        <v>24.2</v>
      </c>
      <c r="P176" s="13">
        <v>60.7</v>
      </c>
      <c r="Q176" s="4">
        <v>67059887</v>
      </c>
    </row>
    <row r="177" spans="1:17" x14ac:dyDescent="0.3">
      <c r="A177" s="4">
        <v>184</v>
      </c>
      <c r="B177" s="4" t="s">
        <v>788</v>
      </c>
      <c r="C177" s="4" t="s">
        <v>22</v>
      </c>
      <c r="D177" s="4" t="s">
        <v>783</v>
      </c>
      <c r="E177" s="4" t="s">
        <v>171</v>
      </c>
      <c r="F177" s="4" t="s">
        <v>167</v>
      </c>
      <c r="G177" s="4" t="b">
        <v>0</v>
      </c>
      <c r="H177" s="4" t="s">
        <v>84</v>
      </c>
      <c r="I177" s="4" t="s">
        <v>790</v>
      </c>
      <c r="J177" s="4" t="s">
        <v>789</v>
      </c>
      <c r="K177" s="7">
        <v>9800</v>
      </c>
      <c r="L177" s="10">
        <v>110.05</v>
      </c>
      <c r="M177" s="5" t="s">
        <v>28</v>
      </c>
      <c r="N177" s="4">
        <v>82.5</v>
      </c>
      <c r="O177" s="13">
        <v>24.2</v>
      </c>
      <c r="P177" s="13">
        <v>60.7</v>
      </c>
      <c r="Q177" s="4">
        <v>67059887</v>
      </c>
    </row>
    <row r="178" spans="1:17" x14ac:dyDescent="0.3">
      <c r="A178" s="4">
        <v>184</v>
      </c>
      <c r="B178" s="4" t="s">
        <v>791</v>
      </c>
      <c r="C178" s="4" t="s">
        <v>496</v>
      </c>
      <c r="D178" s="4" t="s">
        <v>497</v>
      </c>
      <c r="E178" s="4" t="s">
        <v>263</v>
      </c>
      <c r="F178" s="4" t="s">
        <v>48</v>
      </c>
      <c r="G178" s="4" t="b">
        <v>1</v>
      </c>
      <c r="H178" s="4" t="s">
        <v>25</v>
      </c>
      <c r="I178" s="4" t="s">
        <v>793</v>
      </c>
      <c r="J178" s="4" t="s">
        <v>792</v>
      </c>
      <c r="K178" s="7">
        <v>9800</v>
      </c>
      <c r="L178" s="10">
        <v>110.51</v>
      </c>
      <c r="M178" s="5" t="s">
        <v>500</v>
      </c>
      <c r="N178" s="4">
        <v>82.5</v>
      </c>
      <c r="O178" s="13">
        <v>27.9</v>
      </c>
      <c r="P178" s="13">
        <v>49.1</v>
      </c>
      <c r="Q178" s="4">
        <v>10285453</v>
      </c>
    </row>
    <row r="179" spans="1:17" x14ac:dyDescent="0.3">
      <c r="A179" s="4">
        <v>190</v>
      </c>
      <c r="B179" s="4" t="s">
        <v>794</v>
      </c>
      <c r="C179" s="4" t="s">
        <v>326</v>
      </c>
      <c r="D179" s="4" t="s">
        <v>327</v>
      </c>
      <c r="E179" s="4" t="s">
        <v>795</v>
      </c>
      <c r="F179" s="4" t="s">
        <v>249</v>
      </c>
      <c r="G179" s="4" t="b">
        <v>1</v>
      </c>
      <c r="H179" s="4" t="s">
        <v>25</v>
      </c>
      <c r="I179" s="4" t="s">
        <v>797</v>
      </c>
      <c r="J179" s="4" t="s">
        <v>796</v>
      </c>
      <c r="K179" s="7">
        <v>9700</v>
      </c>
      <c r="L179" s="10">
        <v>180.75</v>
      </c>
      <c r="M179" s="5" t="s">
        <v>331</v>
      </c>
      <c r="N179" s="4">
        <v>72.7</v>
      </c>
      <c r="O179" s="13">
        <v>11.4</v>
      </c>
      <c r="P179" s="13">
        <v>46.2</v>
      </c>
      <c r="Q179" s="4">
        <v>144373535</v>
      </c>
    </row>
    <row r="180" spans="1:17" x14ac:dyDescent="0.3">
      <c r="A180" s="4">
        <v>190</v>
      </c>
      <c r="B180" s="4" t="s">
        <v>798</v>
      </c>
      <c r="C180" s="4" t="s">
        <v>799</v>
      </c>
      <c r="D180" s="4" t="s">
        <v>800</v>
      </c>
      <c r="E180" s="4" t="s">
        <v>801</v>
      </c>
      <c r="F180" s="4" t="s">
        <v>48</v>
      </c>
      <c r="G180" s="4" t="b">
        <v>1</v>
      </c>
      <c r="H180" s="4" t="s">
        <v>25</v>
      </c>
      <c r="I180" s="4" t="s">
        <v>63</v>
      </c>
      <c r="J180" s="4" t="s">
        <v>802</v>
      </c>
      <c r="K180" s="7">
        <v>9700</v>
      </c>
      <c r="L180" s="10">
        <v>115.16</v>
      </c>
      <c r="M180" s="5" t="s">
        <v>803</v>
      </c>
      <c r="N180" s="4">
        <v>82.6</v>
      </c>
      <c r="O180" s="13">
        <v>15.6</v>
      </c>
      <c r="P180" s="13">
        <v>33.200000000000003</v>
      </c>
      <c r="Q180" s="4">
        <v>51709098</v>
      </c>
    </row>
    <row r="181" spans="1:17" x14ac:dyDescent="0.3">
      <c r="A181" s="4">
        <v>190</v>
      </c>
      <c r="B181" s="4" t="s">
        <v>804</v>
      </c>
      <c r="C181" s="4" t="s">
        <v>104</v>
      </c>
      <c r="D181" s="4" t="s">
        <v>152</v>
      </c>
      <c r="E181" s="4" t="s">
        <v>805</v>
      </c>
      <c r="F181" s="4" t="s">
        <v>37</v>
      </c>
      <c r="G181" s="4" t="b">
        <v>1</v>
      </c>
      <c r="H181" s="4" t="s">
        <v>25</v>
      </c>
      <c r="I181" s="4" t="s">
        <v>807</v>
      </c>
      <c r="J181" s="4" t="s">
        <v>806</v>
      </c>
      <c r="K181" s="7">
        <v>9700</v>
      </c>
      <c r="L181" s="10">
        <v>125.08</v>
      </c>
      <c r="M181" s="5" t="s">
        <v>109</v>
      </c>
      <c r="N181" s="4">
        <v>77</v>
      </c>
      <c r="O181" s="13">
        <v>9.4</v>
      </c>
      <c r="P181" s="13">
        <v>59.2</v>
      </c>
      <c r="Q181" s="4">
        <v>1397715000</v>
      </c>
    </row>
    <row r="182" spans="1:17" x14ac:dyDescent="0.3">
      <c r="A182" s="4">
        <v>190</v>
      </c>
      <c r="B182" s="4" t="s">
        <v>808</v>
      </c>
      <c r="C182" s="4" t="s">
        <v>157</v>
      </c>
      <c r="D182" s="4" t="s">
        <v>809</v>
      </c>
      <c r="E182" s="4" t="s">
        <v>249</v>
      </c>
      <c r="F182" s="4" t="s">
        <v>249</v>
      </c>
      <c r="G182" s="4" t="b">
        <v>0</v>
      </c>
      <c r="H182" s="4" t="s">
        <v>25</v>
      </c>
      <c r="I182" s="4" t="s">
        <v>811</v>
      </c>
      <c r="J182" s="4" t="s">
        <v>810</v>
      </c>
      <c r="K182" s="7">
        <v>9700</v>
      </c>
      <c r="L182" s="10">
        <v>112.85</v>
      </c>
      <c r="M182" s="5" t="s">
        <v>162</v>
      </c>
      <c r="N182" s="4">
        <v>80.900000000000006</v>
      </c>
      <c r="O182" s="13">
        <v>11.5</v>
      </c>
      <c r="P182" s="13">
        <v>48.8</v>
      </c>
      <c r="Q182" s="4">
        <v>83132799</v>
      </c>
    </row>
    <row r="183" spans="1:17" x14ac:dyDescent="0.3">
      <c r="A183" s="4">
        <v>190</v>
      </c>
      <c r="B183" s="4" t="s">
        <v>812</v>
      </c>
      <c r="C183" s="4" t="s">
        <v>104</v>
      </c>
      <c r="D183" s="4" t="s">
        <v>813</v>
      </c>
      <c r="E183" s="4" t="s">
        <v>516</v>
      </c>
      <c r="F183" s="4" t="s">
        <v>350</v>
      </c>
      <c r="G183" s="4" t="b">
        <v>1</v>
      </c>
      <c r="H183" s="4" t="s">
        <v>25</v>
      </c>
      <c r="I183" s="4" t="s">
        <v>815</v>
      </c>
      <c r="J183" s="4" t="s">
        <v>814</v>
      </c>
      <c r="K183" s="7">
        <v>9700</v>
      </c>
      <c r="L183" s="10">
        <v>125.08</v>
      </c>
      <c r="M183" s="5" t="s">
        <v>109</v>
      </c>
      <c r="N183" s="4">
        <v>77</v>
      </c>
      <c r="O183" s="13">
        <v>9.4</v>
      </c>
      <c r="P183" s="13">
        <v>59.2</v>
      </c>
      <c r="Q183" s="4">
        <v>1397715000</v>
      </c>
    </row>
    <row r="184" spans="1:17" x14ac:dyDescent="0.3">
      <c r="A184" s="4">
        <v>195</v>
      </c>
      <c r="B184" s="4" t="s">
        <v>816</v>
      </c>
      <c r="C184" s="4" t="s">
        <v>31</v>
      </c>
      <c r="D184" s="4" t="s">
        <v>817</v>
      </c>
      <c r="E184" s="4" t="s">
        <v>818</v>
      </c>
      <c r="F184" s="4" t="s">
        <v>37</v>
      </c>
      <c r="G184" s="4" t="b">
        <v>0</v>
      </c>
      <c r="H184" s="4" t="s">
        <v>25</v>
      </c>
      <c r="I184" s="4" t="s">
        <v>819</v>
      </c>
      <c r="J184" s="4" t="s">
        <v>452</v>
      </c>
      <c r="K184" s="7">
        <v>9600</v>
      </c>
      <c r="L184" s="10">
        <v>117.24</v>
      </c>
      <c r="M184" s="5" t="s">
        <v>36</v>
      </c>
      <c r="N184" s="4">
        <v>78.5</v>
      </c>
      <c r="O184" s="13">
        <v>9.6</v>
      </c>
      <c r="P184" s="13">
        <v>36.6</v>
      </c>
      <c r="Q184" s="4">
        <v>328239523</v>
      </c>
    </row>
    <row r="185" spans="1:17" x14ac:dyDescent="0.3">
      <c r="A185" s="4">
        <v>195</v>
      </c>
      <c r="B185" s="4" t="s">
        <v>820</v>
      </c>
      <c r="C185" s="4" t="s">
        <v>104</v>
      </c>
      <c r="D185" s="4" t="s">
        <v>821</v>
      </c>
      <c r="E185" s="4" t="s">
        <v>822</v>
      </c>
      <c r="F185" s="4" t="s">
        <v>291</v>
      </c>
      <c r="G185" s="4" t="b">
        <v>1</v>
      </c>
      <c r="H185" s="4" t="s">
        <v>25</v>
      </c>
      <c r="I185" s="4" t="s">
        <v>824</v>
      </c>
      <c r="J185" s="4" t="s">
        <v>823</v>
      </c>
      <c r="K185" s="7">
        <v>9600</v>
      </c>
      <c r="L185" s="10">
        <v>125.08</v>
      </c>
      <c r="M185" s="5" t="s">
        <v>109</v>
      </c>
      <c r="N185" s="4">
        <v>77</v>
      </c>
      <c r="O185" s="13">
        <v>9.4</v>
      </c>
      <c r="P185" s="13">
        <v>59.2</v>
      </c>
      <c r="Q185" s="4">
        <v>1397715000</v>
      </c>
    </row>
    <row r="186" spans="1:17" x14ac:dyDescent="0.3">
      <c r="A186" s="4">
        <v>195</v>
      </c>
      <c r="B186" s="4" t="s">
        <v>825</v>
      </c>
      <c r="C186" s="4" t="s">
        <v>104</v>
      </c>
      <c r="D186" s="4" t="s">
        <v>826</v>
      </c>
      <c r="E186" s="4" t="s">
        <v>347</v>
      </c>
      <c r="F186" s="4" t="s">
        <v>249</v>
      </c>
      <c r="G186" s="4" t="b">
        <v>1</v>
      </c>
      <c r="H186" s="4" t="s">
        <v>25</v>
      </c>
      <c r="I186" s="4" t="s">
        <v>828</v>
      </c>
      <c r="J186" s="4" t="s">
        <v>827</v>
      </c>
      <c r="K186" s="7">
        <v>9600</v>
      </c>
      <c r="L186" s="10">
        <v>125.08</v>
      </c>
      <c r="M186" s="5" t="s">
        <v>109</v>
      </c>
      <c r="N186" s="4">
        <v>77</v>
      </c>
      <c r="O186" s="13">
        <v>9.4</v>
      </c>
      <c r="P186" s="13">
        <v>59.2</v>
      </c>
      <c r="Q186" s="4">
        <v>1397715000</v>
      </c>
    </row>
    <row r="187" spans="1:17" x14ac:dyDescent="0.3">
      <c r="A187" s="4">
        <v>195</v>
      </c>
      <c r="B187" s="4" t="s">
        <v>829</v>
      </c>
      <c r="C187" s="4" t="s">
        <v>31</v>
      </c>
      <c r="D187" s="4" t="s">
        <v>830</v>
      </c>
      <c r="E187" s="4" t="s">
        <v>184</v>
      </c>
      <c r="F187" s="4" t="s">
        <v>102</v>
      </c>
      <c r="G187" s="4" t="b">
        <v>0</v>
      </c>
      <c r="H187" s="4" t="s">
        <v>84</v>
      </c>
      <c r="I187" s="4" t="s">
        <v>831</v>
      </c>
      <c r="J187" s="4" t="s">
        <v>185</v>
      </c>
      <c r="K187" s="7">
        <v>9600</v>
      </c>
      <c r="L187" s="10">
        <v>117.24</v>
      </c>
      <c r="M187" s="5" t="s">
        <v>36</v>
      </c>
      <c r="N187" s="4">
        <v>78.5</v>
      </c>
      <c r="O187" s="13">
        <v>9.6</v>
      </c>
      <c r="P187" s="13">
        <v>36.6</v>
      </c>
      <c r="Q187" s="4">
        <v>328239523</v>
      </c>
    </row>
    <row r="188" spans="1:17" x14ac:dyDescent="0.3">
      <c r="A188" s="4">
        <v>195</v>
      </c>
      <c r="B188" s="4" t="s">
        <v>832</v>
      </c>
      <c r="C188" s="4" t="s">
        <v>31</v>
      </c>
      <c r="D188" s="4" t="s">
        <v>833</v>
      </c>
      <c r="E188" s="4" t="s">
        <v>184</v>
      </c>
      <c r="F188" s="4" t="s">
        <v>102</v>
      </c>
      <c r="G188" s="4" t="b">
        <v>0</v>
      </c>
      <c r="H188" s="4" t="s">
        <v>84</v>
      </c>
      <c r="I188" s="4" t="s">
        <v>834</v>
      </c>
      <c r="J188" s="4" t="s">
        <v>185</v>
      </c>
      <c r="K188" s="7">
        <v>9600</v>
      </c>
      <c r="L188" s="10">
        <v>117.24</v>
      </c>
      <c r="M188" s="5" t="s">
        <v>36</v>
      </c>
      <c r="N188" s="4">
        <v>78.5</v>
      </c>
      <c r="O188" s="13">
        <v>9.6</v>
      </c>
      <c r="P188" s="13">
        <v>36.6</v>
      </c>
      <c r="Q188" s="4">
        <v>328239523</v>
      </c>
    </row>
    <row r="189" spans="1:17" x14ac:dyDescent="0.3">
      <c r="A189" s="4">
        <v>195</v>
      </c>
      <c r="B189" s="4" t="s">
        <v>835</v>
      </c>
      <c r="C189" s="4" t="s">
        <v>31</v>
      </c>
      <c r="D189" s="4" t="s">
        <v>60</v>
      </c>
      <c r="E189" s="4" t="s">
        <v>184</v>
      </c>
      <c r="F189" s="4" t="s">
        <v>102</v>
      </c>
      <c r="G189" s="4" t="b">
        <v>0</v>
      </c>
      <c r="H189" s="4" t="s">
        <v>84</v>
      </c>
      <c r="I189" s="4" t="s">
        <v>836</v>
      </c>
      <c r="J189" s="4" t="s">
        <v>185</v>
      </c>
      <c r="K189" s="7">
        <v>9600</v>
      </c>
      <c r="L189" s="10">
        <v>117.24</v>
      </c>
      <c r="M189" s="5" t="s">
        <v>36</v>
      </c>
      <c r="N189" s="4">
        <v>78.5</v>
      </c>
      <c r="O189" s="13">
        <v>9.6</v>
      </c>
      <c r="P189" s="13">
        <v>36.6</v>
      </c>
      <c r="Q189" s="4">
        <v>328239523</v>
      </c>
    </row>
    <row r="190" spans="1:17" x14ac:dyDescent="0.3">
      <c r="A190" s="4">
        <v>195</v>
      </c>
      <c r="B190" s="4" t="s">
        <v>837</v>
      </c>
      <c r="C190" s="4" t="s">
        <v>31</v>
      </c>
      <c r="D190" s="4" t="s">
        <v>838</v>
      </c>
      <c r="E190" s="4" t="s">
        <v>184</v>
      </c>
      <c r="F190" s="4" t="s">
        <v>102</v>
      </c>
      <c r="G190" s="4" t="b">
        <v>0</v>
      </c>
      <c r="H190" s="4" t="s">
        <v>84</v>
      </c>
      <c r="I190" s="4" t="s">
        <v>839</v>
      </c>
      <c r="J190" s="4" t="s">
        <v>185</v>
      </c>
      <c r="K190" s="7">
        <v>9600</v>
      </c>
      <c r="L190" s="10">
        <v>117.24</v>
      </c>
      <c r="M190" s="5" t="s">
        <v>36</v>
      </c>
      <c r="N190" s="4">
        <v>78.5</v>
      </c>
      <c r="O190" s="13">
        <v>9.6</v>
      </c>
      <c r="P190" s="13">
        <v>36.6</v>
      </c>
      <c r="Q190" s="4">
        <v>328239523</v>
      </c>
    </row>
    <row r="191" spans="1:17" x14ac:dyDescent="0.3">
      <c r="A191" s="4">
        <v>202</v>
      </c>
      <c r="B191" s="4" t="s">
        <v>840</v>
      </c>
      <c r="C191" s="4" t="s">
        <v>22</v>
      </c>
      <c r="D191" s="4" t="s">
        <v>23</v>
      </c>
      <c r="E191" s="4" t="s">
        <v>263</v>
      </c>
      <c r="F191" s="4" t="s">
        <v>48</v>
      </c>
      <c r="G191" s="4" t="b">
        <v>0</v>
      </c>
      <c r="H191" s="4" t="s">
        <v>25</v>
      </c>
      <c r="I191" s="4" t="s">
        <v>842</v>
      </c>
      <c r="J191" s="4" t="s">
        <v>841</v>
      </c>
      <c r="K191" s="7">
        <v>9500</v>
      </c>
      <c r="L191" s="10">
        <v>110.05</v>
      </c>
      <c r="M191" s="5" t="s">
        <v>28</v>
      </c>
      <c r="N191" s="4">
        <v>82.5</v>
      </c>
      <c r="O191" s="13">
        <v>24.2</v>
      </c>
      <c r="P191" s="13">
        <v>60.7</v>
      </c>
      <c r="Q191" s="4">
        <v>67059887</v>
      </c>
    </row>
    <row r="192" spans="1:17" x14ac:dyDescent="0.3">
      <c r="A192" s="4">
        <v>202</v>
      </c>
      <c r="B192" s="4" t="s">
        <v>843</v>
      </c>
      <c r="C192" s="4" t="s">
        <v>132</v>
      </c>
      <c r="D192" s="4" t="s">
        <v>844</v>
      </c>
      <c r="E192" s="4" t="s">
        <v>71</v>
      </c>
      <c r="F192" s="4" t="s">
        <v>71</v>
      </c>
      <c r="G192" s="4" t="b">
        <v>1</v>
      </c>
      <c r="H192" s="4" t="s">
        <v>25</v>
      </c>
      <c r="I192" s="4" t="s">
        <v>125</v>
      </c>
      <c r="J192" s="4" t="s">
        <v>845</v>
      </c>
      <c r="K192" s="7">
        <v>9500</v>
      </c>
      <c r="L192" s="10">
        <v>116.76</v>
      </c>
      <c r="M192" s="5" t="s">
        <v>137</v>
      </c>
      <c r="N192" s="4">
        <v>81.900000000000006</v>
      </c>
      <c r="O192" s="13">
        <v>12.8</v>
      </c>
      <c r="P192" s="13">
        <v>24.5</v>
      </c>
      <c r="Q192" s="4">
        <v>36991981</v>
      </c>
    </row>
    <row r="193" spans="1:17" x14ac:dyDescent="0.3">
      <c r="A193" s="4">
        <v>204</v>
      </c>
      <c r="B193" s="4" t="s">
        <v>846</v>
      </c>
      <c r="C193" s="4" t="s">
        <v>169</v>
      </c>
      <c r="D193" s="4" t="s">
        <v>847</v>
      </c>
      <c r="E193" s="4" t="s">
        <v>848</v>
      </c>
      <c r="F193" s="4" t="s">
        <v>350</v>
      </c>
      <c r="G193" s="4" t="b">
        <v>0</v>
      </c>
      <c r="H193" s="4" t="s">
        <v>25</v>
      </c>
      <c r="I193" s="4" t="s">
        <v>850</v>
      </c>
      <c r="J193" s="4" t="s">
        <v>849</v>
      </c>
      <c r="K193" s="7">
        <v>9400</v>
      </c>
      <c r="L193" s="10">
        <v>99.55</v>
      </c>
      <c r="M193" s="5" t="s">
        <v>174</v>
      </c>
      <c r="N193" s="4">
        <v>83.6</v>
      </c>
      <c r="O193" s="13">
        <v>10.1</v>
      </c>
      <c r="P193" s="13">
        <v>28.8</v>
      </c>
      <c r="Q193" s="4">
        <v>8574832</v>
      </c>
    </row>
    <row r="194" spans="1:17" x14ac:dyDescent="0.3">
      <c r="A194" s="4">
        <v>204</v>
      </c>
      <c r="B194" s="4" t="s">
        <v>851</v>
      </c>
      <c r="C194" s="4" t="s">
        <v>104</v>
      </c>
      <c r="D194" s="4" t="s">
        <v>152</v>
      </c>
      <c r="E194" s="4" t="s">
        <v>852</v>
      </c>
      <c r="F194" s="4" t="s">
        <v>37</v>
      </c>
      <c r="G194" s="4" t="b">
        <v>1</v>
      </c>
      <c r="H194" s="4" t="s">
        <v>25</v>
      </c>
      <c r="I194" s="4" t="s">
        <v>853</v>
      </c>
      <c r="J194" s="4" t="s">
        <v>383</v>
      </c>
      <c r="K194" s="7">
        <v>9400</v>
      </c>
      <c r="L194" s="10">
        <v>125.08</v>
      </c>
      <c r="M194" s="5" t="s">
        <v>109</v>
      </c>
      <c r="N194" s="4">
        <v>77</v>
      </c>
      <c r="O194" s="13">
        <v>9.4</v>
      </c>
      <c r="P194" s="13">
        <v>59.2</v>
      </c>
      <c r="Q194" s="4">
        <v>1397715000</v>
      </c>
    </row>
    <row r="195" spans="1:17" x14ac:dyDescent="0.3">
      <c r="A195" s="4">
        <v>206</v>
      </c>
      <c r="B195" s="4" t="s">
        <v>854</v>
      </c>
      <c r="C195" s="4" t="s">
        <v>31</v>
      </c>
      <c r="D195" s="4" t="s">
        <v>855</v>
      </c>
      <c r="E195" s="4" t="s">
        <v>856</v>
      </c>
      <c r="F195" s="4" t="s">
        <v>37</v>
      </c>
      <c r="G195" s="4" t="b">
        <v>1</v>
      </c>
      <c r="H195" s="4" t="s">
        <v>25</v>
      </c>
      <c r="I195" s="4" t="s">
        <v>858</v>
      </c>
      <c r="J195" s="4" t="s">
        <v>857</v>
      </c>
      <c r="K195" s="7">
        <v>9300</v>
      </c>
      <c r="L195" s="10">
        <v>117.24</v>
      </c>
      <c r="M195" s="5" t="s">
        <v>36</v>
      </c>
      <c r="N195" s="4">
        <v>78.5</v>
      </c>
      <c r="O195" s="13">
        <v>9.6</v>
      </c>
      <c r="P195" s="13">
        <v>36.6</v>
      </c>
      <c r="Q195" s="4">
        <v>328239523</v>
      </c>
    </row>
    <row r="196" spans="1:17" x14ac:dyDescent="0.3">
      <c r="A196" s="4">
        <v>206</v>
      </c>
      <c r="B196" s="4" t="s">
        <v>859</v>
      </c>
      <c r="C196" s="4" t="s">
        <v>225</v>
      </c>
      <c r="D196" s="4" t="s">
        <v>860</v>
      </c>
      <c r="E196" s="4" t="s">
        <v>861</v>
      </c>
      <c r="F196" s="4" t="s">
        <v>249</v>
      </c>
      <c r="G196" s="4" t="b">
        <v>1</v>
      </c>
      <c r="H196" s="4" t="s">
        <v>25</v>
      </c>
      <c r="I196" s="4" t="s">
        <v>349</v>
      </c>
      <c r="J196" s="4" t="s">
        <v>862</v>
      </c>
      <c r="K196" s="7">
        <v>9300</v>
      </c>
      <c r="L196" s="10">
        <v>119.62</v>
      </c>
      <c r="M196" s="5" t="s">
        <v>230</v>
      </c>
      <c r="N196" s="4">
        <v>81.3</v>
      </c>
      <c r="O196" s="13">
        <v>25.5</v>
      </c>
      <c r="P196" s="13">
        <v>30.6</v>
      </c>
      <c r="Q196" s="4">
        <v>66834405</v>
      </c>
    </row>
    <row r="197" spans="1:17" x14ac:dyDescent="0.3">
      <c r="A197" s="4">
        <v>208</v>
      </c>
      <c r="B197" s="4" t="s">
        <v>863</v>
      </c>
      <c r="C197" s="4" t="s">
        <v>326</v>
      </c>
      <c r="D197" s="4" t="s">
        <v>327</v>
      </c>
      <c r="E197" s="4" t="s">
        <v>398</v>
      </c>
      <c r="F197" s="4" t="s">
        <v>71</v>
      </c>
      <c r="G197" s="4" t="b">
        <v>1</v>
      </c>
      <c r="H197" s="4" t="s">
        <v>25</v>
      </c>
      <c r="I197" s="4" t="s">
        <v>865</v>
      </c>
      <c r="J197" s="4" t="s">
        <v>864</v>
      </c>
      <c r="K197" s="7">
        <v>9200</v>
      </c>
      <c r="L197" s="10">
        <v>180.75</v>
      </c>
      <c r="M197" s="5" t="s">
        <v>331</v>
      </c>
      <c r="N197" s="4">
        <v>72.7</v>
      </c>
      <c r="O197" s="13">
        <v>11.4</v>
      </c>
      <c r="P197" s="13">
        <v>46.2</v>
      </c>
      <c r="Q197" s="4">
        <v>144373535</v>
      </c>
    </row>
    <row r="198" spans="1:17" x14ac:dyDescent="0.3">
      <c r="A198" s="4">
        <v>208</v>
      </c>
      <c r="B198" s="4" t="s">
        <v>866</v>
      </c>
      <c r="C198" s="4" t="s">
        <v>496</v>
      </c>
      <c r="D198" s="4" t="s">
        <v>497</v>
      </c>
      <c r="E198" s="4" t="s">
        <v>71</v>
      </c>
      <c r="F198" s="4" t="s">
        <v>71</v>
      </c>
      <c r="G198" s="4" t="b">
        <v>0</v>
      </c>
      <c r="H198" s="4" t="s">
        <v>84</v>
      </c>
      <c r="I198" s="4" t="s">
        <v>868</v>
      </c>
      <c r="J198" s="4" t="s">
        <v>867</v>
      </c>
      <c r="K198" s="7">
        <v>9200</v>
      </c>
      <c r="L198" s="10">
        <v>110.51</v>
      </c>
      <c r="M198" s="5" t="s">
        <v>500</v>
      </c>
      <c r="N198" s="4">
        <v>82.5</v>
      </c>
      <c r="O198" s="13">
        <v>27.9</v>
      </c>
      <c r="P198" s="13">
        <v>49.1</v>
      </c>
      <c r="Q198" s="4">
        <v>10285453</v>
      </c>
    </row>
    <row r="199" spans="1:17" x14ac:dyDescent="0.3">
      <c r="A199" s="4">
        <v>208</v>
      </c>
      <c r="B199" s="4" t="s">
        <v>869</v>
      </c>
      <c r="C199" s="4" t="s">
        <v>486</v>
      </c>
      <c r="D199" s="4" t="s">
        <v>487</v>
      </c>
      <c r="E199" s="4" t="s">
        <v>870</v>
      </c>
      <c r="F199" s="4" t="s">
        <v>291</v>
      </c>
      <c r="G199" s="4" t="b">
        <v>1</v>
      </c>
      <c r="H199" s="4" t="s">
        <v>25</v>
      </c>
      <c r="I199" s="4" t="s">
        <v>446</v>
      </c>
      <c r="J199" s="4" t="s">
        <v>871</v>
      </c>
      <c r="K199" s="7">
        <v>9200</v>
      </c>
      <c r="L199" s="10">
        <v>116.48</v>
      </c>
      <c r="M199" s="5" t="s">
        <v>491</v>
      </c>
      <c r="N199" s="4">
        <v>79</v>
      </c>
      <c r="O199" s="13">
        <v>14.9</v>
      </c>
      <c r="P199" s="13">
        <v>46.1</v>
      </c>
      <c r="Q199" s="4">
        <v>10669709</v>
      </c>
    </row>
    <row r="200" spans="1:17" x14ac:dyDescent="0.3">
      <c r="A200" s="4">
        <v>208</v>
      </c>
      <c r="B200" s="4" t="s">
        <v>872</v>
      </c>
      <c r="C200" s="4" t="s">
        <v>31</v>
      </c>
      <c r="D200" s="4" t="s">
        <v>873</v>
      </c>
      <c r="E200" s="4" t="s">
        <v>874</v>
      </c>
      <c r="F200" s="4" t="s">
        <v>58</v>
      </c>
      <c r="G200" s="4" t="b">
        <v>1</v>
      </c>
      <c r="H200" s="4" t="s">
        <v>25</v>
      </c>
      <c r="I200" s="4" t="s">
        <v>189</v>
      </c>
      <c r="J200" s="4" t="s">
        <v>875</v>
      </c>
      <c r="K200" s="7">
        <v>9200</v>
      </c>
      <c r="L200" s="10">
        <v>117.24</v>
      </c>
      <c r="M200" s="5" t="s">
        <v>36</v>
      </c>
      <c r="N200" s="4">
        <v>78.5</v>
      </c>
      <c r="O200" s="13">
        <v>9.6</v>
      </c>
      <c r="P200" s="13">
        <v>36.6</v>
      </c>
      <c r="Q200" s="4">
        <v>328239523</v>
      </c>
    </row>
    <row r="201" spans="1:17" x14ac:dyDescent="0.3">
      <c r="A201" s="4">
        <v>208</v>
      </c>
      <c r="B201" s="4" t="s">
        <v>876</v>
      </c>
      <c r="C201" s="4" t="s">
        <v>73</v>
      </c>
      <c r="D201" s="4" t="s">
        <v>877</v>
      </c>
      <c r="E201" s="4" t="s">
        <v>878</v>
      </c>
      <c r="F201" s="4" t="s">
        <v>37</v>
      </c>
      <c r="G201" s="4" t="b">
        <v>0</v>
      </c>
      <c r="H201" s="4" t="s">
        <v>25</v>
      </c>
      <c r="I201" s="4" t="s">
        <v>880</v>
      </c>
      <c r="J201" s="4" t="s">
        <v>879</v>
      </c>
      <c r="K201" s="7">
        <v>9200</v>
      </c>
      <c r="L201" s="10">
        <v>180.44</v>
      </c>
      <c r="M201" s="5" t="s">
        <v>77</v>
      </c>
      <c r="N201" s="4">
        <v>69.400000000000006</v>
      </c>
      <c r="O201" s="13">
        <v>11.2</v>
      </c>
      <c r="P201" s="13">
        <v>49.7</v>
      </c>
      <c r="Q201" s="4">
        <v>1366417754</v>
      </c>
    </row>
    <row r="202" spans="1:17" x14ac:dyDescent="0.3">
      <c r="A202" s="4">
        <v>208</v>
      </c>
      <c r="B202" s="4" t="s">
        <v>881</v>
      </c>
      <c r="C202" s="4" t="s">
        <v>31</v>
      </c>
      <c r="D202" s="4" t="s">
        <v>882</v>
      </c>
      <c r="E202" s="4" t="s">
        <v>301</v>
      </c>
      <c r="F202" s="4" t="s">
        <v>48</v>
      </c>
      <c r="G202" s="4" t="b">
        <v>1</v>
      </c>
      <c r="H202" s="4" t="s">
        <v>25</v>
      </c>
      <c r="I202" s="4" t="s">
        <v>118</v>
      </c>
      <c r="J202" s="4" t="s">
        <v>883</v>
      </c>
      <c r="K202" s="7">
        <v>9200</v>
      </c>
      <c r="L202" s="10">
        <v>117.24</v>
      </c>
      <c r="M202" s="5" t="s">
        <v>36</v>
      </c>
      <c r="N202" s="4">
        <v>78.5</v>
      </c>
      <c r="O202" s="13">
        <v>9.6</v>
      </c>
      <c r="P202" s="13">
        <v>36.6</v>
      </c>
      <c r="Q202" s="4">
        <v>328239523</v>
      </c>
    </row>
    <row r="203" spans="1:17" x14ac:dyDescent="0.3">
      <c r="A203" s="4">
        <v>208</v>
      </c>
      <c r="B203" s="4" t="s">
        <v>884</v>
      </c>
      <c r="C203" s="4" t="s">
        <v>31</v>
      </c>
      <c r="D203" s="4" t="s">
        <v>885</v>
      </c>
      <c r="E203" s="4" t="s">
        <v>886</v>
      </c>
      <c r="F203" s="4" t="s">
        <v>20</v>
      </c>
      <c r="G203" s="4" t="b">
        <v>1</v>
      </c>
      <c r="H203" s="4" t="s">
        <v>25</v>
      </c>
      <c r="I203" s="4" t="s">
        <v>419</v>
      </c>
      <c r="J203" s="4" t="s">
        <v>887</v>
      </c>
      <c r="K203" s="7">
        <v>9200</v>
      </c>
      <c r="L203" s="10">
        <v>117.24</v>
      </c>
      <c r="M203" s="5" t="s">
        <v>36</v>
      </c>
      <c r="N203" s="4">
        <v>78.5</v>
      </c>
      <c r="O203" s="13">
        <v>9.6</v>
      </c>
      <c r="P203" s="13">
        <v>36.6</v>
      </c>
      <c r="Q203" s="4">
        <v>328239523</v>
      </c>
    </row>
    <row r="204" spans="1:17" x14ac:dyDescent="0.3">
      <c r="A204" s="4">
        <v>215</v>
      </c>
      <c r="B204" s="4" t="s">
        <v>888</v>
      </c>
      <c r="C204" s="4" t="s">
        <v>31</v>
      </c>
      <c r="D204" s="4" t="s">
        <v>88</v>
      </c>
      <c r="E204" s="4" t="s">
        <v>89</v>
      </c>
      <c r="F204" s="4" t="s">
        <v>37</v>
      </c>
      <c r="G204" s="4" t="b">
        <v>1</v>
      </c>
      <c r="H204" s="4" t="s">
        <v>25</v>
      </c>
      <c r="I204" s="4" t="s">
        <v>136</v>
      </c>
      <c r="J204" s="4" t="s">
        <v>889</v>
      </c>
      <c r="K204" s="7">
        <v>9000</v>
      </c>
      <c r="L204" s="10">
        <v>117.24</v>
      </c>
      <c r="M204" s="5" t="s">
        <v>36</v>
      </c>
      <c r="N204" s="4">
        <v>78.5</v>
      </c>
      <c r="O204" s="13">
        <v>9.6</v>
      </c>
      <c r="P204" s="13">
        <v>36.6</v>
      </c>
      <c r="Q204" s="4">
        <v>328239523</v>
      </c>
    </row>
    <row r="205" spans="1:17" x14ac:dyDescent="0.3">
      <c r="A205" s="4">
        <v>215</v>
      </c>
      <c r="B205" s="4" t="s">
        <v>890</v>
      </c>
      <c r="C205" s="4" t="s">
        <v>169</v>
      </c>
      <c r="D205" s="4" t="s">
        <v>891</v>
      </c>
      <c r="E205" s="4" t="s">
        <v>275</v>
      </c>
      <c r="F205" s="4" t="s">
        <v>271</v>
      </c>
      <c r="G205" s="4" t="b">
        <v>1</v>
      </c>
      <c r="H205" s="4" t="s">
        <v>25</v>
      </c>
      <c r="I205" s="4" t="s">
        <v>893</v>
      </c>
      <c r="J205" s="4" t="s">
        <v>892</v>
      </c>
      <c r="K205" s="7">
        <v>9000</v>
      </c>
      <c r="L205" s="10">
        <v>99.55</v>
      </c>
      <c r="M205" s="5" t="s">
        <v>174</v>
      </c>
      <c r="N205" s="4">
        <v>83.6</v>
      </c>
      <c r="O205" s="13">
        <v>10.1</v>
      </c>
      <c r="P205" s="13">
        <v>28.8</v>
      </c>
      <c r="Q205" s="4">
        <v>8574832</v>
      </c>
    </row>
    <row r="206" spans="1:17" x14ac:dyDescent="0.3">
      <c r="A206" s="4">
        <v>215</v>
      </c>
      <c r="B206" s="4" t="s">
        <v>894</v>
      </c>
      <c r="C206" s="4" t="s">
        <v>157</v>
      </c>
      <c r="D206" s="4" t="s">
        <v>895</v>
      </c>
      <c r="E206" s="4" t="s">
        <v>464</v>
      </c>
      <c r="F206" s="4" t="s">
        <v>461</v>
      </c>
      <c r="G206" s="4" t="b">
        <v>0</v>
      </c>
      <c r="H206" s="4" t="s">
        <v>25</v>
      </c>
      <c r="I206" s="4" t="s">
        <v>897</v>
      </c>
      <c r="J206" s="4" t="s">
        <v>896</v>
      </c>
      <c r="K206" s="7">
        <v>9000</v>
      </c>
      <c r="L206" s="10">
        <v>112.85</v>
      </c>
      <c r="M206" s="5" t="s">
        <v>162</v>
      </c>
      <c r="N206" s="4">
        <v>80.900000000000006</v>
      </c>
      <c r="O206" s="13">
        <v>11.5</v>
      </c>
      <c r="P206" s="13">
        <v>48.8</v>
      </c>
      <c r="Q206" s="4">
        <v>83132799</v>
      </c>
    </row>
    <row r="207" spans="1:17" x14ac:dyDescent="0.3">
      <c r="A207" s="4">
        <v>215</v>
      </c>
      <c r="B207" s="4" t="s">
        <v>898</v>
      </c>
      <c r="C207" s="4" t="s">
        <v>132</v>
      </c>
      <c r="D207" s="4" t="s">
        <v>844</v>
      </c>
      <c r="E207" s="4" t="s">
        <v>899</v>
      </c>
      <c r="F207" s="4" t="s">
        <v>102</v>
      </c>
      <c r="G207" s="4" t="b">
        <v>1</v>
      </c>
      <c r="H207" s="4" t="s">
        <v>25</v>
      </c>
      <c r="I207" s="4" t="s">
        <v>674</v>
      </c>
      <c r="J207" s="4" t="s">
        <v>900</v>
      </c>
      <c r="K207" s="7">
        <v>9000</v>
      </c>
      <c r="L207" s="10">
        <v>116.76</v>
      </c>
      <c r="M207" s="5" t="s">
        <v>137</v>
      </c>
      <c r="N207" s="4">
        <v>81.900000000000006</v>
      </c>
      <c r="O207" s="13">
        <v>12.8</v>
      </c>
      <c r="P207" s="13">
        <v>24.5</v>
      </c>
      <c r="Q207" s="4">
        <v>36991981</v>
      </c>
    </row>
    <row r="208" spans="1:17" x14ac:dyDescent="0.3">
      <c r="A208" s="4">
        <v>215</v>
      </c>
      <c r="B208" s="4" t="s">
        <v>901</v>
      </c>
      <c r="C208" s="4" t="s">
        <v>104</v>
      </c>
      <c r="D208" s="4" t="s">
        <v>902</v>
      </c>
      <c r="E208" s="4" t="s">
        <v>903</v>
      </c>
      <c r="F208" s="4" t="s">
        <v>249</v>
      </c>
      <c r="G208" s="4" t="b">
        <v>1</v>
      </c>
      <c r="H208" s="4" t="s">
        <v>25</v>
      </c>
      <c r="I208" s="4" t="s">
        <v>904</v>
      </c>
      <c r="J208" s="4" t="s">
        <v>383</v>
      </c>
      <c r="K208" s="7">
        <v>9000</v>
      </c>
      <c r="L208" s="10">
        <v>125.08</v>
      </c>
      <c r="M208" s="5" t="s">
        <v>109</v>
      </c>
      <c r="N208" s="4">
        <v>77</v>
      </c>
      <c r="O208" s="13">
        <v>9.4</v>
      </c>
      <c r="P208" s="13">
        <v>59.2</v>
      </c>
      <c r="Q208" s="4">
        <v>1397715000</v>
      </c>
    </row>
    <row r="209" spans="1:17" x14ac:dyDescent="0.3">
      <c r="A209" s="4">
        <v>220</v>
      </c>
      <c r="B209" s="4" t="s">
        <v>905</v>
      </c>
      <c r="C209" s="4" t="s">
        <v>225</v>
      </c>
      <c r="D209" s="4" t="s">
        <v>226</v>
      </c>
      <c r="E209" s="4" t="s">
        <v>906</v>
      </c>
      <c r="F209" s="4" t="s">
        <v>102</v>
      </c>
      <c r="G209" s="4" t="b">
        <v>0</v>
      </c>
      <c r="H209" s="4" t="s">
        <v>25</v>
      </c>
      <c r="I209" s="4" t="s">
        <v>908</v>
      </c>
      <c r="J209" s="4" t="s">
        <v>907</v>
      </c>
      <c r="K209" s="7">
        <v>8900</v>
      </c>
      <c r="L209" s="10">
        <v>119.62</v>
      </c>
      <c r="M209" s="5" t="s">
        <v>230</v>
      </c>
      <c r="N209" s="4">
        <v>81.3</v>
      </c>
      <c r="O209" s="13">
        <v>25.5</v>
      </c>
      <c r="P209" s="13">
        <v>30.6</v>
      </c>
      <c r="Q209" s="4">
        <v>66834405</v>
      </c>
    </row>
    <row r="210" spans="1:17" x14ac:dyDescent="0.3">
      <c r="A210" s="4">
        <v>220</v>
      </c>
      <c r="B210" s="4" t="s">
        <v>909</v>
      </c>
      <c r="C210" s="4" t="s">
        <v>225</v>
      </c>
      <c r="D210" s="4" t="s">
        <v>910</v>
      </c>
      <c r="E210" s="4" t="s">
        <v>906</v>
      </c>
      <c r="F210" s="4" t="s">
        <v>102</v>
      </c>
      <c r="G210" s="4" t="b">
        <v>0</v>
      </c>
      <c r="H210" s="4" t="s">
        <v>25</v>
      </c>
      <c r="I210" s="4" t="s">
        <v>911</v>
      </c>
      <c r="J210" s="4" t="s">
        <v>907</v>
      </c>
      <c r="K210" s="7">
        <v>8900</v>
      </c>
      <c r="L210" s="10">
        <v>119.62</v>
      </c>
      <c r="M210" s="5" t="s">
        <v>230</v>
      </c>
      <c r="N210" s="4">
        <v>81.3</v>
      </c>
      <c r="O210" s="13">
        <v>25.5</v>
      </c>
      <c r="P210" s="13">
        <v>30.6</v>
      </c>
      <c r="Q210" s="4">
        <v>66834405</v>
      </c>
    </row>
    <row r="211" spans="1:17" x14ac:dyDescent="0.3">
      <c r="A211" s="4">
        <v>220</v>
      </c>
      <c r="B211" s="4" t="s">
        <v>912</v>
      </c>
      <c r="C211" s="4" t="s">
        <v>225</v>
      </c>
      <c r="D211" s="4" t="s">
        <v>913</v>
      </c>
      <c r="E211" s="4" t="s">
        <v>906</v>
      </c>
      <c r="F211" s="4" t="s">
        <v>102</v>
      </c>
      <c r="G211" s="4" t="b">
        <v>0</v>
      </c>
      <c r="H211" s="4" t="s">
        <v>84</v>
      </c>
      <c r="I211" s="4" t="s">
        <v>914</v>
      </c>
      <c r="J211" s="4" t="s">
        <v>907</v>
      </c>
      <c r="K211" s="7">
        <v>8900</v>
      </c>
      <c r="L211" s="10">
        <v>119.62</v>
      </c>
      <c r="M211" s="5" t="s">
        <v>230</v>
      </c>
      <c r="N211" s="4">
        <v>81.3</v>
      </c>
      <c r="O211" s="13">
        <v>25.5</v>
      </c>
      <c r="P211" s="13">
        <v>30.6</v>
      </c>
      <c r="Q211" s="4">
        <v>66834405</v>
      </c>
    </row>
    <row r="212" spans="1:17" x14ac:dyDescent="0.3">
      <c r="A212" s="4">
        <v>223</v>
      </c>
      <c r="B212" s="4" t="s">
        <v>915</v>
      </c>
      <c r="C212" s="4" t="s">
        <v>326</v>
      </c>
      <c r="D212" s="4" t="s">
        <v>916</v>
      </c>
      <c r="E212" s="4" t="s">
        <v>917</v>
      </c>
      <c r="F212" s="4" t="s">
        <v>20</v>
      </c>
      <c r="G212" s="4" t="b">
        <v>1</v>
      </c>
      <c r="H212" s="4" t="s">
        <v>84</v>
      </c>
      <c r="I212" s="4" t="s">
        <v>919</v>
      </c>
      <c r="J212" s="4" t="s">
        <v>918</v>
      </c>
      <c r="K212" s="7">
        <v>8800</v>
      </c>
      <c r="L212" s="10">
        <v>180.75</v>
      </c>
      <c r="M212" s="5" t="s">
        <v>331</v>
      </c>
      <c r="N212" s="4">
        <v>72.7</v>
      </c>
      <c r="O212" s="13">
        <v>11.4</v>
      </c>
      <c r="P212" s="13">
        <v>46.2</v>
      </c>
      <c r="Q212" s="4">
        <v>144373535</v>
      </c>
    </row>
    <row r="213" spans="1:17" x14ac:dyDescent="0.3">
      <c r="A213" s="4">
        <v>223</v>
      </c>
      <c r="B213" s="4" t="s">
        <v>920</v>
      </c>
      <c r="C213" s="4" t="s">
        <v>31</v>
      </c>
      <c r="D213" s="4" t="s">
        <v>882</v>
      </c>
      <c r="E213" s="4" t="s">
        <v>921</v>
      </c>
      <c r="F213" s="4" t="s">
        <v>37</v>
      </c>
      <c r="G213" s="4" t="b">
        <v>1</v>
      </c>
      <c r="H213" s="4" t="s">
        <v>25</v>
      </c>
      <c r="I213" s="4" t="s">
        <v>189</v>
      </c>
      <c r="J213" s="4" t="s">
        <v>922</v>
      </c>
      <c r="K213" s="7">
        <v>8800</v>
      </c>
      <c r="L213" s="10">
        <v>117.24</v>
      </c>
      <c r="M213" s="5" t="s">
        <v>36</v>
      </c>
      <c r="N213" s="4">
        <v>78.5</v>
      </c>
      <c r="O213" s="13">
        <v>9.6</v>
      </c>
      <c r="P213" s="13">
        <v>36.6</v>
      </c>
      <c r="Q213" s="4">
        <v>328239523</v>
      </c>
    </row>
    <row r="214" spans="1:17" x14ac:dyDescent="0.3">
      <c r="A214" s="4">
        <v>223</v>
      </c>
      <c r="B214" s="4" t="s">
        <v>923</v>
      </c>
      <c r="C214" s="4" t="s">
        <v>104</v>
      </c>
      <c r="D214" s="4" t="s">
        <v>152</v>
      </c>
      <c r="E214" s="4" t="s">
        <v>246</v>
      </c>
      <c r="F214" s="4" t="s">
        <v>37</v>
      </c>
      <c r="G214" s="4" t="b">
        <v>1</v>
      </c>
      <c r="H214" s="4" t="s">
        <v>25</v>
      </c>
      <c r="I214" s="4" t="s">
        <v>924</v>
      </c>
      <c r="J214" s="4" t="s">
        <v>656</v>
      </c>
      <c r="K214" s="7">
        <v>8800</v>
      </c>
      <c r="L214" s="10">
        <v>125.08</v>
      </c>
      <c r="M214" s="5" t="s">
        <v>109</v>
      </c>
      <c r="N214" s="4">
        <v>77</v>
      </c>
      <c r="O214" s="13">
        <v>9.4</v>
      </c>
      <c r="P214" s="13">
        <v>59.2</v>
      </c>
      <c r="Q214" s="4">
        <v>1397715000</v>
      </c>
    </row>
    <row r="215" spans="1:17" x14ac:dyDescent="0.3">
      <c r="A215" s="4">
        <v>223</v>
      </c>
      <c r="B215" s="4" t="s">
        <v>925</v>
      </c>
      <c r="C215" s="4" t="s">
        <v>31</v>
      </c>
      <c r="D215" s="4" t="s">
        <v>855</v>
      </c>
      <c r="E215" s="4" t="s">
        <v>111</v>
      </c>
      <c r="F215" s="4" t="s">
        <v>37</v>
      </c>
      <c r="G215" s="4" t="b">
        <v>1</v>
      </c>
      <c r="H215" s="4" t="s">
        <v>25</v>
      </c>
      <c r="I215" s="4" t="s">
        <v>927</v>
      </c>
      <c r="J215" s="4" t="s">
        <v>926</v>
      </c>
      <c r="K215" s="7">
        <v>8800</v>
      </c>
      <c r="L215" s="10">
        <v>117.24</v>
      </c>
      <c r="M215" s="5" t="s">
        <v>36</v>
      </c>
      <c r="N215" s="4">
        <v>78.5</v>
      </c>
      <c r="O215" s="13">
        <v>9.6</v>
      </c>
      <c r="P215" s="13">
        <v>36.6</v>
      </c>
      <c r="Q215" s="4">
        <v>328239523</v>
      </c>
    </row>
    <row r="216" spans="1:17" x14ac:dyDescent="0.3">
      <c r="A216" s="4">
        <v>223</v>
      </c>
      <c r="B216" s="4" t="s">
        <v>928</v>
      </c>
      <c r="C216" s="4" t="s">
        <v>31</v>
      </c>
      <c r="D216" s="4" t="s">
        <v>929</v>
      </c>
      <c r="E216" s="4" t="s">
        <v>930</v>
      </c>
      <c r="F216" s="4" t="s">
        <v>37</v>
      </c>
      <c r="G216" s="4" t="b">
        <v>1</v>
      </c>
      <c r="H216" s="4" t="s">
        <v>25</v>
      </c>
      <c r="I216" s="4" t="s">
        <v>932</v>
      </c>
      <c r="J216" s="4" t="s">
        <v>931</v>
      </c>
      <c r="K216" s="7">
        <v>8800</v>
      </c>
      <c r="L216" s="10">
        <v>117.24</v>
      </c>
      <c r="M216" s="5" t="s">
        <v>36</v>
      </c>
      <c r="N216" s="4">
        <v>78.5</v>
      </c>
      <c r="O216" s="13">
        <v>9.6</v>
      </c>
      <c r="P216" s="13">
        <v>36.6</v>
      </c>
      <c r="Q216" s="4">
        <v>328239523</v>
      </c>
    </row>
    <row r="217" spans="1:17" x14ac:dyDescent="0.3">
      <c r="A217" s="4">
        <v>223</v>
      </c>
      <c r="B217" s="4" t="s">
        <v>933</v>
      </c>
      <c r="C217" s="4" t="s">
        <v>104</v>
      </c>
      <c r="D217" s="4" t="s">
        <v>213</v>
      </c>
      <c r="E217" s="4" t="s">
        <v>214</v>
      </c>
      <c r="F217" s="4" t="s">
        <v>291</v>
      </c>
      <c r="G217" s="4" t="b">
        <v>1</v>
      </c>
      <c r="H217" s="4" t="s">
        <v>25</v>
      </c>
      <c r="I217" s="4" t="s">
        <v>935</v>
      </c>
      <c r="J217" s="4" t="s">
        <v>934</v>
      </c>
      <c r="K217" s="7">
        <v>8800</v>
      </c>
      <c r="L217" s="10">
        <v>125.08</v>
      </c>
      <c r="M217" s="5" t="s">
        <v>109</v>
      </c>
      <c r="N217" s="4">
        <v>77</v>
      </c>
      <c r="O217" s="13">
        <v>9.4</v>
      </c>
      <c r="P217" s="13">
        <v>59.2</v>
      </c>
      <c r="Q217" s="4">
        <v>1397715000</v>
      </c>
    </row>
    <row r="218" spans="1:17" x14ac:dyDescent="0.3">
      <c r="A218" s="4">
        <v>223</v>
      </c>
      <c r="B218" s="4" t="s">
        <v>936</v>
      </c>
      <c r="C218" s="4" t="s">
        <v>225</v>
      </c>
      <c r="D218" s="4" t="s">
        <v>226</v>
      </c>
      <c r="E218" s="4" t="s">
        <v>402</v>
      </c>
      <c r="F218" s="4" t="s">
        <v>291</v>
      </c>
      <c r="G218" s="4" t="b">
        <v>0</v>
      </c>
      <c r="H218" s="4" t="s">
        <v>84</v>
      </c>
      <c r="I218" s="4" t="s">
        <v>938</v>
      </c>
      <c r="J218" s="4" t="s">
        <v>937</v>
      </c>
      <c r="K218" s="7">
        <v>8800</v>
      </c>
      <c r="L218" s="10">
        <v>119.62</v>
      </c>
      <c r="M218" s="5" t="s">
        <v>230</v>
      </c>
      <c r="N218" s="4">
        <v>81.3</v>
      </c>
      <c r="O218" s="13">
        <v>25.5</v>
      </c>
      <c r="P218" s="13">
        <v>30.6</v>
      </c>
      <c r="Q218" s="4">
        <v>66834405</v>
      </c>
    </row>
    <row r="219" spans="1:17" x14ac:dyDescent="0.3">
      <c r="A219" s="4">
        <v>230</v>
      </c>
      <c r="B219" s="4" t="s">
        <v>939</v>
      </c>
      <c r="C219" s="4" t="s">
        <v>104</v>
      </c>
      <c r="D219" s="4" t="s">
        <v>940</v>
      </c>
      <c r="E219" s="4" t="s">
        <v>347</v>
      </c>
      <c r="F219" s="4" t="s">
        <v>249</v>
      </c>
      <c r="G219" s="4" t="b">
        <v>1</v>
      </c>
      <c r="H219" s="4" t="s">
        <v>25</v>
      </c>
      <c r="I219" s="4" t="s">
        <v>941</v>
      </c>
      <c r="J219" s="4" t="s">
        <v>575</v>
      </c>
      <c r="K219" s="7">
        <v>8700</v>
      </c>
      <c r="L219" s="10">
        <v>125.08</v>
      </c>
      <c r="M219" s="5" t="s">
        <v>109</v>
      </c>
      <c r="N219" s="4">
        <v>77</v>
      </c>
      <c r="O219" s="13">
        <v>9.4</v>
      </c>
      <c r="P219" s="13">
        <v>59.2</v>
      </c>
      <c r="Q219" s="4">
        <v>1397715000</v>
      </c>
    </row>
    <row r="220" spans="1:17" x14ac:dyDescent="0.3">
      <c r="A220" s="4">
        <v>230</v>
      </c>
      <c r="B220" s="4" t="s">
        <v>942</v>
      </c>
      <c r="C220" s="4" t="s">
        <v>157</v>
      </c>
      <c r="D220" s="4" t="s">
        <v>895</v>
      </c>
      <c r="E220" s="4" t="s">
        <v>943</v>
      </c>
      <c r="F220" s="4" t="s">
        <v>20</v>
      </c>
      <c r="G220" s="4" t="b">
        <v>0</v>
      </c>
      <c r="H220" s="4" t="s">
        <v>25</v>
      </c>
      <c r="I220" s="4" t="s">
        <v>63</v>
      </c>
      <c r="J220" s="4" t="s">
        <v>896</v>
      </c>
      <c r="K220" s="7">
        <v>8700</v>
      </c>
      <c r="L220" s="10">
        <v>112.85</v>
      </c>
      <c r="M220" s="5" t="s">
        <v>162</v>
      </c>
      <c r="N220" s="4">
        <v>80.900000000000006</v>
      </c>
      <c r="O220" s="13">
        <v>11.5</v>
      </c>
      <c r="P220" s="13">
        <v>48.8</v>
      </c>
      <c r="Q220" s="4">
        <v>83132799</v>
      </c>
    </row>
    <row r="221" spans="1:17" x14ac:dyDescent="0.3">
      <c r="A221" s="4">
        <v>232</v>
      </c>
      <c r="B221" s="4" t="s">
        <v>944</v>
      </c>
      <c r="C221" s="4" t="s">
        <v>31</v>
      </c>
      <c r="D221" s="4" t="s">
        <v>60</v>
      </c>
      <c r="E221" s="4" t="s">
        <v>801</v>
      </c>
      <c r="F221" s="4" t="s">
        <v>48</v>
      </c>
      <c r="G221" s="4" t="b">
        <v>1</v>
      </c>
      <c r="H221" s="4" t="s">
        <v>25</v>
      </c>
      <c r="I221" s="4" t="s">
        <v>946</v>
      </c>
      <c r="J221" s="4" t="s">
        <v>945</v>
      </c>
      <c r="K221" s="7">
        <v>8600</v>
      </c>
      <c r="L221" s="10">
        <v>117.24</v>
      </c>
      <c r="M221" s="5" t="s">
        <v>36</v>
      </c>
      <c r="N221" s="4">
        <v>78.5</v>
      </c>
      <c r="O221" s="13">
        <v>9.6</v>
      </c>
      <c r="P221" s="13">
        <v>36.6</v>
      </c>
      <c r="Q221" s="4">
        <v>328239523</v>
      </c>
    </row>
    <row r="222" spans="1:17" x14ac:dyDescent="0.3">
      <c r="A222" s="4">
        <v>232</v>
      </c>
      <c r="B222" s="4" t="s">
        <v>947</v>
      </c>
      <c r="C222" s="4" t="s">
        <v>948</v>
      </c>
      <c r="D222" s="4" t="s">
        <v>949</v>
      </c>
      <c r="E222" s="4" t="s">
        <v>263</v>
      </c>
      <c r="F222" s="4" t="s">
        <v>48</v>
      </c>
      <c r="G222" s="4" t="b">
        <v>1</v>
      </c>
      <c r="H222" s="4" t="s">
        <v>25</v>
      </c>
      <c r="I222" s="4" t="s">
        <v>951</v>
      </c>
      <c r="J222" s="4" t="s">
        <v>950</v>
      </c>
      <c r="K222" s="7">
        <v>8600</v>
      </c>
      <c r="L222" s="10">
        <v>114.24</v>
      </c>
      <c r="M222" s="5" t="s">
        <v>952</v>
      </c>
      <c r="N222" s="4">
        <v>81.900000000000006</v>
      </c>
      <c r="O222" s="13">
        <v>29</v>
      </c>
      <c r="P222" s="13">
        <v>34.6</v>
      </c>
      <c r="Q222" s="4">
        <v>4841000</v>
      </c>
    </row>
    <row r="223" spans="1:17" x14ac:dyDescent="0.3">
      <c r="A223" s="4">
        <v>232</v>
      </c>
      <c r="B223" s="4" t="s">
        <v>953</v>
      </c>
      <c r="C223" s="4" t="s">
        <v>73</v>
      </c>
      <c r="D223" s="4" t="s">
        <v>287</v>
      </c>
      <c r="E223" s="4" t="s">
        <v>954</v>
      </c>
      <c r="F223" s="4" t="s">
        <v>102</v>
      </c>
      <c r="G223" s="4" t="b">
        <v>0</v>
      </c>
      <c r="H223" s="4" t="s">
        <v>25</v>
      </c>
      <c r="I223" s="4" t="s">
        <v>956</v>
      </c>
      <c r="J223" s="4" t="s">
        <v>955</v>
      </c>
      <c r="K223" s="7">
        <v>8600</v>
      </c>
      <c r="L223" s="10">
        <v>180.44</v>
      </c>
      <c r="M223" s="5" t="s">
        <v>77</v>
      </c>
      <c r="N223" s="4">
        <v>69.400000000000006</v>
      </c>
      <c r="O223" s="13">
        <v>11.2</v>
      </c>
      <c r="P223" s="13">
        <v>49.7</v>
      </c>
      <c r="Q223" s="4">
        <v>1366417754</v>
      </c>
    </row>
    <row r="224" spans="1:17" x14ac:dyDescent="0.3">
      <c r="A224" s="4">
        <v>232</v>
      </c>
      <c r="B224" s="4" t="s">
        <v>957</v>
      </c>
      <c r="C224" s="4" t="s">
        <v>157</v>
      </c>
      <c r="D224" s="4" t="s">
        <v>958</v>
      </c>
      <c r="E224" s="4" t="s">
        <v>730</v>
      </c>
      <c r="F224" s="4" t="s">
        <v>37</v>
      </c>
      <c r="G224" s="4" t="b">
        <v>1</v>
      </c>
      <c r="H224" s="4" t="s">
        <v>25</v>
      </c>
      <c r="I224" s="4" t="s">
        <v>960</v>
      </c>
      <c r="J224" s="4" t="s">
        <v>959</v>
      </c>
      <c r="K224" s="7">
        <v>8600</v>
      </c>
      <c r="L224" s="10">
        <v>112.85</v>
      </c>
      <c r="M224" s="5" t="s">
        <v>162</v>
      </c>
      <c r="N224" s="4">
        <v>80.900000000000006</v>
      </c>
      <c r="O224" s="13">
        <v>11.5</v>
      </c>
      <c r="P224" s="13">
        <v>48.8</v>
      </c>
      <c r="Q224" s="4">
        <v>83132799</v>
      </c>
    </row>
    <row r="225" spans="1:17" x14ac:dyDescent="0.3">
      <c r="A225" s="4">
        <v>232</v>
      </c>
      <c r="B225" s="4" t="s">
        <v>961</v>
      </c>
      <c r="C225" s="4" t="s">
        <v>169</v>
      </c>
      <c r="D225" s="4" t="s">
        <v>962</v>
      </c>
      <c r="E225" s="4" t="s">
        <v>512</v>
      </c>
      <c r="F225" s="4" t="s">
        <v>102</v>
      </c>
      <c r="G225" s="4" t="b">
        <v>1</v>
      </c>
      <c r="H225" s="4" t="s">
        <v>25</v>
      </c>
      <c r="I225" s="4" t="s">
        <v>964</v>
      </c>
      <c r="J225" s="4" t="s">
        <v>963</v>
      </c>
      <c r="K225" s="7">
        <v>8600</v>
      </c>
      <c r="L225" s="10">
        <v>99.55</v>
      </c>
      <c r="M225" s="5" t="s">
        <v>174</v>
      </c>
      <c r="N225" s="4">
        <v>83.6</v>
      </c>
      <c r="O225" s="13">
        <v>10.1</v>
      </c>
      <c r="P225" s="13">
        <v>28.8</v>
      </c>
      <c r="Q225" s="4">
        <v>8574832</v>
      </c>
    </row>
    <row r="226" spans="1:17" x14ac:dyDescent="0.3">
      <c r="A226" s="4">
        <v>232</v>
      </c>
      <c r="B226" s="4" t="s">
        <v>965</v>
      </c>
      <c r="C226" s="4" t="s">
        <v>966</v>
      </c>
      <c r="D226" s="4" t="s">
        <v>967</v>
      </c>
      <c r="E226" s="4" t="s">
        <v>464</v>
      </c>
      <c r="F226" s="4" t="s">
        <v>461</v>
      </c>
      <c r="G226" s="4" t="b">
        <v>1</v>
      </c>
      <c r="H226" s="4" t="s">
        <v>25</v>
      </c>
      <c r="I226" s="4" t="s">
        <v>969</v>
      </c>
      <c r="J226" s="4" t="s">
        <v>968</v>
      </c>
      <c r="K226" s="7">
        <v>8600</v>
      </c>
      <c r="L226" s="10">
        <v>129.61000000000001</v>
      </c>
      <c r="M226" s="5" t="s">
        <v>970</v>
      </c>
      <c r="N226" s="4">
        <v>71.099999999999994</v>
      </c>
      <c r="O226" s="13">
        <v>14</v>
      </c>
      <c r="P226" s="13">
        <v>43.1</v>
      </c>
      <c r="Q226" s="4">
        <v>108116615</v>
      </c>
    </row>
    <row r="227" spans="1:17" x14ac:dyDescent="0.3">
      <c r="A227" s="4">
        <v>232</v>
      </c>
      <c r="B227" s="4" t="s">
        <v>971</v>
      </c>
      <c r="C227" s="4" t="s">
        <v>31</v>
      </c>
      <c r="D227" s="4" t="s">
        <v>88</v>
      </c>
      <c r="E227" s="4" t="s">
        <v>89</v>
      </c>
      <c r="F227" s="4" t="s">
        <v>37</v>
      </c>
      <c r="G227" s="4" t="b">
        <v>1</v>
      </c>
      <c r="H227" s="4" t="s">
        <v>25</v>
      </c>
      <c r="I227" s="4" t="s">
        <v>651</v>
      </c>
      <c r="J227" s="4" t="s">
        <v>972</v>
      </c>
      <c r="K227" s="7">
        <v>8600</v>
      </c>
      <c r="L227" s="10">
        <v>117.24</v>
      </c>
      <c r="M227" s="5" t="s">
        <v>36</v>
      </c>
      <c r="N227" s="4">
        <v>78.5</v>
      </c>
      <c r="O227" s="13">
        <v>9.6</v>
      </c>
      <c r="P227" s="13">
        <v>36.6</v>
      </c>
      <c r="Q227" s="4">
        <v>328239523</v>
      </c>
    </row>
    <row r="228" spans="1:17" x14ac:dyDescent="0.3">
      <c r="A228" s="4">
        <v>239</v>
      </c>
      <c r="B228" s="4" t="s">
        <v>973</v>
      </c>
      <c r="C228" s="4" t="s">
        <v>31</v>
      </c>
      <c r="D228" s="4" t="s">
        <v>60</v>
      </c>
      <c r="E228" s="4" t="s">
        <v>263</v>
      </c>
      <c r="F228" s="4" t="s">
        <v>48</v>
      </c>
      <c r="G228" s="4" t="b">
        <v>1</v>
      </c>
      <c r="H228" s="4" t="s">
        <v>25</v>
      </c>
      <c r="I228" s="4" t="s">
        <v>975</v>
      </c>
      <c r="J228" s="4" t="s">
        <v>974</v>
      </c>
      <c r="K228" s="7">
        <v>8500</v>
      </c>
      <c r="L228" s="10">
        <v>117.24</v>
      </c>
      <c r="M228" s="5" t="s">
        <v>36</v>
      </c>
      <c r="N228" s="4">
        <v>78.5</v>
      </c>
      <c r="O228" s="13">
        <v>9.6</v>
      </c>
      <c r="P228" s="13">
        <v>36.6</v>
      </c>
      <c r="Q228" s="4">
        <v>328239523</v>
      </c>
    </row>
    <row r="229" spans="1:17" x14ac:dyDescent="0.3">
      <c r="A229" s="4">
        <v>239</v>
      </c>
      <c r="B229" s="4" t="s">
        <v>976</v>
      </c>
      <c r="C229" s="4" t="s">
        <v>31</v>
      </c>
      <c r="D229" s="4" t="s">
        <v>613</v>
      </c>
      <c r="E229" s="4" t="s">
        <v>123</v>
      </c>
      <c r="F229" s="4" t="s">
        <v>20</v>
      </c>
      <c r="G229" s="4" t="b">
        <v>0</v>
      </c>
      <c r="H229" s="4" t="s">
        <v>84</v>
      </c>
      <c r="I229" s="4" t="s">
        <v>977</v>
      </c>
      <c r="J229" s="4" t="s">
        <v>615</v>
      </c>
      <c r="K229" s="7">
        <v>8500</v>
      </c>
      <c r="L229" s="10">
        <v>117.24</v>
      </c>
      <c r="M229" s="5" t="s">
        <v>36</v>
      </c>
      <c r="N229" s="4">
        <v>78.5</v>
      </c>
      <c r="O229" s="13">
        <v>9.6</v>
      </c>
      <c r="P229" s="13">
        <v>36.6</v>
      </c>
      <c r="Q229" s="4">
        <v>328239523</v>
      </c>
    </row>
    <row r="230" spans="1:17" x14ac:dyDescent="0.3">
      <c r="A230" s="4">
        <v>239</v>
      </c>
      <c r="B230" s="4" t="s">
        <v>978</v>
      </c>
      <c r="C230" s="4" t="s">
        <v>104</v>
      </c>
      <c r="D230" s="4" t="s">
        <v>979</v>
      </c>
      <c r="E230" s="4" t="s">
        <v>980</v>
      </c>
      <c r="F230" s="4" t="s">
        <v>249</v>
      </c>
      <c r="G230" s="4" t="b">
        <v>1</v>
      </c>
      <c r="H230" s="4" t="s">
        <v>25</v>
      </c>
      <c r="I230" s="4" t="s">
        <v>981</v>
      </c>
      <c r="J230" s="4" t="s">
        <v>418</v>
      </c>
      <c r="K230" s="7">
        <v>8500</v>
      </c>
      <c r="L230" s="10">
        <v>125.08</v>
      </c>
      <c r="M230" s="5" t="s">
        <v>109</v>
      </c>
      <c r="N230" s="4">
        <v>77</v>
      </c>
      <c r="O230" s="13">
        <v>9.4</v>
      </c>
      <c r="P230" s="13">
        <v>59.2</v>
      </c>
      <c r="Q230" s="4">
        <v>1397715000</v>
      </c>
    </row>
    <row r="231" spans="1:17" x14ac:dyDescent="0.3">
      <c r="A231" s="4">
        <v>242</v>
      </c>
      <c r="B231" s="4" t="s">
        <v>982</v>
      </c>
      <c r="C231" s="4" t="s">
        <v>31</v>
      </c>
      <c r="D231" s="4" t="s">
        <v>983</v>
      </c>
      <c r="E231" s="4" t="s">
        <v>984</v>
      </c>
      <c r="F231" s="4" t="s">
        <v>58</v>
      </c>
      <c r="G231" s="4" t="b">
        <v>0</v>
      </c>
      <c r="H231" s="4" t="s">
        <v>25</v>
      </c>
      <c r="I231" s="4" t="s">
        <v>125</v>
      </c>
      <c r="J231" s="4" t="s">
        <v>985</v>
      </c>
      <c r="K231" s="7">
        <v>8400</v>
      </c>
      <c r="L231" s="10">
        <v>117.24</v>
      </c>
      <c r="M231" s="5" t="s">
        <v>36</v>
      </c>
      <c r="N231" s="4">
        <v>78.5</v>
      </c>
      <c r="O231" s="13">
        <v>9.6</v>
      </c>
      <c r="P231" s="13">
        <v>36.6</v>
      </c>
      <c r="Q231" s="4">
        <v>328239523</v>
      </c>
    </row>
    <row r="232" spans="1:17" x14ac:dyDescent="0.3">
      <c r="A232" s="4">
        <v>242</v>
      </c>
      <c r="B232" s="4" t="s">
        <v>986</v>
      </c>
      <c r="C232" s="4" t="s">
        <v>685</v>
      </c>
      <c r="D232" s="4" t="s">
        <v>987</v>
      </c>
      <c r="E232" s="4" t="s">
        <v>988</v>
      </c>
      <c r="F232" s="4" t="s">
        <v>271</v>
      </c>
      <c r="G232" s="4" t="b">
        <v>0</v>
      </c>
      <c r="H232" s="4" t="s">
        <v>25</v>
      </c>
      <c r="I232" s="4" t="s">
        <v>990</v>
      </c>
      <c r="J232" s="4" t="s">
        <v>989</v>
      </c>
      <c r="K232" s="7">
        <v>8400</v>
      </c>
      <c r="L232" s="10">
        <v>158.93</v>
      </c>
      <c r="M232" s="5" t="s">
        <v>688</v>
      </c>
      <c r="N232" s="4">
        <v>63.9</v>
      </c>
      <c r="O232" s="13">
        <v>27.5</v>
      </c>
      <c r="P232" s="13">
        <v>29.2</v>
      </c>
      <c r="Q232" s="4">
        <v>58558270</v>
      </c>
    </row>
    <row r="233" spans="1:17" x14ac:dyDescent="0.3">
      <c r="A233" s="4">
        <v>242</v>
      </c>
      <c r="B233" s="4" t="s">
        <v>991</v>
      </c>
      <c r="C233" s="4" t="s">
        <v>273</v>
      </c>
      <c r="D233" s="4" t="s">
        <v>992</v>
      </c>
      <c r="E233" s="4" t="s">
        <v>984</v>
      </c>
      <c r="F233" s="4" t="s">
        <v>58</v>
      </c>
      <c r="G233" s="4" t="b">
        <v>0</v>
      </c>
      <c r="H233" s="4" t="s">
        <v>84</v>
      </c>
      <c r="I233" s="4" t="s">
        <v>994</v>
      </c>
      <c r="J233" s="4" t="s">
        <v>993</v>
      </c>
      <c r="K233" s="7">
        <v>8400</v>
      </c>
      <c r="L233" s="10">
        <v>119.8</v>
      </c>
      <c r="M233" s="5" t="s">
        <v>278</v>
      </c>
      <c r="N233" s="4">
        <v>82.7</v>
      </c>
      <c r="O233" s="13">
        <v>23</v>
      </c>
      <c r="P233" s="13">
        <v>47.4</v>
      </c>
      <c r="Q233" s="4">
        <v>25766605</v>
      </c>
    </row>
    <row r="234" spans="1:17" x14ac:dyDescent="0.3">
      <c r="A234" s="4">
        <v>242</v>
      </c>
      <c r="B234" s="4" t="s">
        <v>995</v>
      </c>
      <c r="C234" s="4" t="s">
        <v>104</v>
      </c>
      <c r="D234" s="4" t="s">
        <v>996</v>
      </c>
      <c r="E234" s="4" t="s">
        <v>997</v>
      </c>
      <c r="F234" s="4" t="s">
        <v>271</v>
      </c>
      <c r="G234" s="4" t="b">
        <v>0</v>
      </c>
      <c r="H234" s="4" t="s">
        <v>84</v>
      </c>
      <c r="I234" s="4" t="s">
        <v>999</v>
      </c>
      <c r="J234" s="4" t="s">
        <v>998</v>
      </c>
      <c r="K234" s="7">
        <v>8400</v>
      </c>
      <c r="L234" s="10">
        <v>125.08</v>
      </c>
      <c r="M234" s="5" t="s">
        <v>109</v>
      </c>
      <c r="N234" s="4">
        <v>77</v>
      </c>
      <c r="O234" s="13">
        <v>9.4</v>
      </c>
      <c r="P234" s="13">
        <v>59.2</v>
      </c>
      <c r="Q234" s="4">
        <v>1397715000</v>
      </c>
    </row>
    <row r="235" spans="1:17" x14ac:dyDescent="0.3">
      <c r="A235" s="4">
        <v>246</v>
      </c>
      <c r="B235" s="4" t="s">
        <v>1000</v>
      </c>
      <c r="C235" s="4" t="s">
        <v>31</v>
      </c>
      <c r="D235" s="4" t="s">
        <v>1001</v>
      </c>
      <c r="E235" s="4" t="s">
        <v>1002</v>
      </c>
      <c r="F235" s="4" t="s">
        <v>20</v>
      </c>
      <c r="G235" s="4" t="b">
        <v>1</v>
      </c>
      <c r="H235" s="4" t="s">
        <v>25</v>
      </c>
      <c r="I235" s="4" t="s">
        <v>189</v>
      </c>
      <c r="J235" s="4" t="s">
        <v>1003</v>
      </c>
      <c r="K235" s="7">
        <v>8300</v>
      </c>
      <c r="L235" s="10">
        <v>117.24</v>
      </c>
      <c r="M235" s="5" t="s">
        <v>36</v>
      </c>
      <c r="N235" s="4">
        <v>78.5</v>
      </c>
      <c r="O235" s="13">
        <v>9.6</v>
      </c>
      <c r="P235" s="13">
        <v>36.6</v>
      </c>
      <c r="Q235" s="4">
        <v>328239523</v>
      </c>
    </row>
    <row r="236" spans="1:17" x14ac:dyDescent="0.3">
      <c r="A236" s="4">
        <v>249</v>
      </c>
      <c r="B236" s="4" t="s">
        <v>1004</v>
      </c>
      <c r="C236" s="4" t="s">
        <v>326</v>
      </c>
      <c r="D236" s="4" t="s">
        <v>327</v>
      </c>
      <c r="E236" s="4" t="s">
        <v>618</v>
      </c>
      <c r="F236" s="4" t="s">
        <v>291</v>
      </c>
      <c r="G236" s="4" t="b">
        <v>1</v>
      </c>
      <c r="H236" s="4" t="s">
        <v>25</v>
      </c>
      <c r="I236" s="4" t="s">
        <v>1005</v>
      </c>
      <c r="J236" s="4" t="s">
        <v>635</v>
      </c>
      <c r="K236" s="7">
        <v>8200</v>
      </c>
      <c r="L236" s="10">
        <v>180.75</v>
      </c>
      <c r="M236" s="5" t="s">
        <v>331</v>
      </c>
      <c r="N236" s="4">
        <v>72.7</v>
      </c>
      <c r="O236" s="13">
        <v>11.4</v>
      </c>
      <c r="P236" s="13">
        <v>46.2</v>
      </c>
      <c r="Q236" s="4">
        <v>144373535</v>
      </c>
    </row>
    <row r="237" spans="1:17" x14ac:dyDescent="0.3">
      <c r="A237" s="4">
        <v>249</v>
      </c>
      <c r="B237" s="4" t="s">
        <v>1006</v>
      </c>
      <c r="C237" s="4" t="s">
        <v>564</v>
      </c>
      <c r="D237" s="4" t="s">
        <v>565</v>
      </c>
      <c r="E237" s="4" t="s">
        <v>566</v>
      </c>
      <c r="F237" s="4" t="s">
        <v>71</v>
      </c>
      <c r="G237" s="4" t="b">
        <v>0</v>
      </c>
      <c r="H237" s="4" t="s">
        <v>25</v>
      </c>
      <c r="I237" s="4" t="s">
        <v>1008</v>
      </c>
      <c r="J237" s="4" t="s">
        <v>1007</v>
      </c>
      <c r="K237" s="7">
        <v>8200</v>
      </c>
      <c r="L237" s="10">
        <v>267.51</v>
      </c>
      <c r="M237" s="5" t="s">
        <v>569</v>
      </c>
      <c r="N237" s="4">
        <v>54.3</v>
      </c>
      <c r="O237" s="13">
        <v>1.5</v>
      </c>
      <c r="P237" s="13">
        <v>34.799999999999997</v>
      </c>
      <c r="Q237" s="4">
        <v>200963599</v>
      </c>
    </row>
    <row r="238" spans="1:17" x14ac:dyDescent="0.3">
      <c r="A238" s="4">
        <v>249</v>
      </c>
      <c r="B238" s="4" t="s">
        <v>1009</v>
      </c>
      <c r="C238" s="4" t="s">
        <v>31</v>
      </c>
      <c r="D238" s="4" t="s">
        <v>502</v>
      </c>
      <c r="E238" s="4" t="s">
        <v>801</v>
      </c>
      <c r="F238" s="4" t="s">
        <v>48</v>
      </c>
      <c r="G238" s="4" t="b">
        <v>1</v>
      </c>
      <c r="H238" s="4" t="s">
        <v>25</v>
      </c>
      <c r="I238" s="4" t="s">
        <v>599</v>
      </c>
      <c r="J238" s="4" t="s">
        <v>1010</v>
      </c>
      <c r="K238" s="7">
        <v>8200</v>
      </c>
      <c r="L238" s="10">
        <v>117.24</v>
      </c>
      <c r="M238" s="5" t="s">
        <v>36</v>
      </c>
      <c r="N238" s="4">
        <v>78.5</v>
      </c>
      <c r="O238" s="13">
        <v>9.6</v>
      </c>
      <c r="P238" s="13">
        <v>36.6</v>
      </c>
      <c r="Q238" s="4">
        <v>328239523</v>
      </c>
    </row>
    <row r="239" spans="1:17" x14ac:dyDescent="0.3">
      <c r="A239" s="4">
        <v>249</v>
      </c>
      <c r="B239" s="4" t="s">
        <v>1011</v>
      </c>
      <c r="C239" s="4" t="s">
        <v>73</v>
      </c>
      <c r="D239" s="4" t="s">
        <v>287</v>
      </c>
      <c r="E239" s="4" t="s">
        <v>464</v>
      </c>
      <c r="F239" s="4" t="s">
        <v>461</v>
      </c>
      <c r="G239" s="4" t="b">
        <v>0</v>
      </c>
      <c r="H239" s="4" t="s">
        <v>25</v>
      </c>
      <c r="I239" s="4" t="s">
        <v>1013</v>
      </c>
      <c r="J239" s="4" t="s">
        <v>1012</v>
      </c>
      <c r="K239" s="7">
        <v>8200</v>
      </c>
      <c r="L239" s="10">
        <v>180.44</v>
      </c>
      <c r="M239" s="5" t="s">
        <v>77</v>
      </c>
      <c r="N239" s="4">
        <v>69.400000000000006</v>
      </c>
      <c r="O239" s="13">
        <v>11.2</v>
      </c>
      <c r="P239" s="13">
        <v>49.7</v>
      </c>
      <c r="Q239" s="4">
        <v>1366417754</v>
      </c>
    </row>
    <row r="240" spans="1:17" x14ac:dyDescent="0.3">
      <c r="A240" s="4">
        <v>249</v>
      </c>
      <c r="B240" s="4" t="s">
        <v>1014</v>
      </c>
      <c r="C240" s="4" t="s">
        <v>104</v>
      </c>
      <c r="D240" s="4" t="s">
        <v>152</v>
      </c>
      <c r="E240" s="4" t="s">
        <v>464</v>
      </c>
      <c r="F240" s="4" t="s">
        <v>461</v>
      </c>
      <c r="G240" s="4" t="b">
        <v>1</v>
      </c>
      <c r="H240" s="4" t="s">
        <v>25</v>
      </c>
      <c r="I240" s="4" t="s">
        <v>1015</v>
      </c>
      <c r="J240" s="4" t="s">
        <v>383</v>
      </c>
      <c r="K240" s="7">
        <v>8200</v>
      </c>
      <c r="L240" s="10">
        <v>125.08</v>
      </c>
      <c r="M240" s="5" t="s">
        <v>109</v>
      </c>
      <c r="N240" s="4">
        <v>77</v>
      </c>
      <c r="O240" s="13">
        <v>9.4</v>
      </c>
      <c r="P240" s="13">
        <v>59.2</v>
      </c>
      <c r="Q240" s="4">
        <v>1397715000</v>
      </c>
    </row>
    <row r="241" spans="1:17" x14ac:dyDescent="0.3">
      <c r="A241" s="4">
        <v>249</v>
      </c>
      <c r="B241" s="4" t="s">
        <v>1016</v>
      </c>
      <c r="C241" s="4" t="s">
        <v>104</v>
      </c>
      <c r="D241" s="4" t="s">
        <v>335</v>
      </c>
      <c r="E241" s="4" t="s">
        <v>464</v>
      </c>
      <c r="F241" s="4" t="s">
        <v>461</v>
      </c>
      <c r="G241" s="4" t="b">
        <v>0</v>
      </c>
      <c r="H241" s="4" t="s">
        <v>84</v>
      </c>
      <c r="I241" s="4" t="s">
        <v>1018</v>
      </c>
      <c r="J241" s="4" t="s">
        <v>1017</v>
      </c>
      <c r="K241" s="7">
        <v>8200</v>
      </c>
      <c r="L241" s="10">
        <v>125.08</v>
      </c>
      <c r="M241" s="5" t="s">
        <v>109</v>
      </c>
      <c r="N241" s="4">
        <v>77</v>
      </c>
      <c r="O241" s="13">
        <v>9.4</v>
      </c>
      <c r="P241" s="13">
        <v>59.2</v>
      </c>
      <c r="Q241" s="4">
        <v>1397715000</v>
      </c>
    </row>
    <row r="242" spans="1:17" x14ac:dyDescent="0.3">
      <c r="A242" s="4">
        <v>256</v>
      </c>
      <c r="B242" s="4" t="s">
        <v>1019</v>
      </c>
      <c r="C242" s="4" t="s">
        <v>22</v>
      </c>
      <c r="D242" s="4" t="s">
        <v>23</v>
      </c>
      <c r="E242" s="4" t="s">
        <v>71</v>
      </c>
      <c r="F242" s="4" t="s">
        <v>71</v>
      </c>
      <c r="G242" s="4" t="b">
        <v>0</v>
      </c>
      <c r="H242" s="4" t="s">
        <v>25</v>
      </c>
      <c r="I242" s="4" t="s">
        <v>1021</v>
      </c>
      <c r="J242" s="4" t="s">
        <v>1020</v>
      </c>
      <c r="K242" s="7">
        <v>8100</v>
      </c>
      <c r="L242" s="10">
        <v>110.05</v>
      </c>
      <c r="M242" s="5" t="s">
        <v>28</v>
      </c>
      <c r="N242" s="4">
        <v>82.5</v>
      </c>
      <c r="O242" s="13">
        <v>24.2</v>
      </c>
      <c r="P242" s="13">
        <v>60.7</v>
      </c>
      <c r="Q242" s="4">
        <v>67059887</v>
      </c>
    </row>
    <row r="243" spans="1:17" x14ac:dyDescent="0.3">
      <c r="A243" s="4">
        <v>256</v>
      </c>
      <c r="B243" s="4" t="s">
        <v>1022</v>
      </c>
      <c r="C243" s="4" t="s">
        <v>22</v>
      </c>
      <c r="D243" s="4" t="s">
        <v>23</v>
      </c>
      <c r="E243" s="4" t="s">
        <v>71</v>
      </c>
      <c r="F243" s="4" t="s">
        <v>71</v>
      </c>
      <c r="G243" s="4" t="b">
        <v>0</v>
      </c>
      <c r="H243" s="4" t="s">
        <v>25</v>
      </c>
      <c r="I243" s="4" t="s">
        <v>1023</v>
      </c>
      <c r="J243" s="4" t="s">
        <v>1020</v>
      </c>
      <c r="K243" s="7">
        <v>8100</v>
      </c>
      <c r="L243" s="10">
        <v>110.05</v>
      </c>
      <c r="M243" s="5" t="s">
        <v>28</v>
      </c>
      <c r="N243" s="4">
        <v>82.5</v>
      </c>
      <c r="O243" s="13">
        <v>24.2</v>
      </c>
      <c r="P243" s="13">
        <v>60.7</v>
      </c>
      <c r="Q243" s="4">
        <v>67059887</v>
      </c>
    </row>
    <row r="244" spans="1:17" x14ac:dyDescent="0.3">
      <c r="A244" s="4">
        <v>256</v>
      </c>
      <c r="B244" s="4" t="s">
        <v>1024</v>
      </c>
      <c r="C244" s="4" t="s">
        <v>31</v>
      </c>
      <c r="D244" s="4" t="s">
        <v>741</v>
      </c>
      <c r="E244" s="4" t="s">
        <v>1025</v>
      </c>
      <c r="F244" s="4" t="s">
        <v>102</v>
      </c>
      <c r="G244" s="4" t="b">
        <v>1</v>
      </c>
      <c r="H244" s="4" t="s">
        <v>25</v>
      </c>
      <c r="I244" s="4" t="s">
        <v>1027</v>
      </c>
      <c r="J244" s="4" t="s">
        <v>1026</v>
      </c>
      <c r="K244" s="7">
        <v>8100</v>
      </c>
      <c r="L244" s="10">
        <v>117.24</v>
      </c>
      <c r="M244" s="5" t="s">
        <v>36</v>
      </c>
      <c r="N244" s="4">
        <v>78.5</v>
      </c>
      <c r="O244" s="13">
        <v>9.6</v>
      </c>
      <c r="P244" s="13">
        <v>36.6</v>
      </c>
      <c r="Q244" s="4">
        <v>328239523</v>
      </c>
    </row>
    <row r="245" spans="1:17" x14ac:dyDescent="0.3">
      <c r="A245" s="4">
        <v>256</v>
      </c>
      <c r="B245" s="4" t="s">
        <v>1028</v>
      </c>
      <c r="C245" s="4" t="s">
        <v>22</v>
      </c>
      <c r="D245" s="4" t="s">
        <v>23</v>
      </c>
      <c r="E245" s="4" t="s">
        <v>71</v>
      </c>
      <c r="F245" s="4" t="s">
        <v>71</v>
      </c>
      <c r="G245" s="4" t="b">
        <v>0</v>
      </c>
      <c r="H245" s="4" t="s">
        <v>84</v>
      </c>
      <c r="I245" s="4" t="s">
        <v>1030</v>
      </c>
      <c r="J245" s="4" t="s">
        <v>1029</v>
      </c>
      <c r="K245" s="7">
        <v>8100</v>
      </c>
      <c r="L245" s="10">
        <v>110.05</v>
      </c>
      <c r="M245" s="5" t="s">
        <v>28</v>
      </c>
      <c r="N245" s="4">
        <v>82.5</v>
      </c>
      <c r="O245" s="13">
        <v>24.2</v>
      </c>
      <c r="P245" s="13">
        <v>60.7</v>
      </c>
      <c r="Q245" s="4">
        <v>67059887</v>
      </c>
    </row>
    <row r="246" spans="1:17" x14ac:dyDescent="0.3">
      <c r="A246" s="4">
        <v>256</v>
      </c>
      <c r="B246" s="4" t="s">
        <v>1031</v>
      </c>
      <c r="C246" s="4" t="s">
        <v>169</v>
      </c>
      <c r="D246" s="4" t="s">
        <v>1032</v>
      </c>
      <c r="E246" s="4" t="s">
        <v>1033</v>
      </c>
      <c r="F246" s="4" t="s">
        <v>195</v>
      </c>
      <c r="G246" s="4" t="b">
        <v>1</v>
      </c>
      <c r="H246" s="4" t="s">
        <v>25</v>
      </c>
      <c r="I246" s="4" t="s">
        <v>1035</v>
      </c>
      <c r="J246" s="4" t="s">
        <v>1034</v>
      </c>
      <c r="K246" s="7">
        <v>8100</v>
      </c>
      <c r="L246" s="10">
        <v>99.55</v>
      </c>
      <c r="M246" s="5" t="s">
        <v>174</v>
      </c>
      <c r="N246" s="4">
        <v>83.6</v>
      </c>
      <c r="O246" s="13">
        <v>10.1</v>
      </c>
      <c r="P246" s="13">
        <v>28.8</v>
      </c>
      <c r="Q246" s="4">
        <v>8574832</v>
      </c>
    </row>
    <row r="247" spans="1:17" x14ac:dyDescent="0.3">
      <c r="A247" s="4">
        <v>261</v>
      </c>
      <c r="B247" s="4" t="s">
        <v>1036</v>
      </c>
      <c r="C247" s="4" t="s">
        <v>31</v>
      </c>
      <c r="D247" s="4" t="s">
        <v>855</v>
      </c>
      <c r="E247" s="4" t="s">
        <v>856</v>
      </c>
      <c r="F247" s="4" t="s">
        <v>37</v>
      </c>
      <c r="G247" s="4" t="b">
        <v>1</v>
      </c>
      <c r="H247" s="4" t="s">
        <v>25</v>
      </c>
      <c r="I247" s="4" t="s">
        <v>1038</v>
      </c>
      <c r="J247" s="4" t="s">
        <v>1037</v>
      </c>
      <c r="K247" s="7">
        <v>8000</v>
      </c>
      <c r="L247" s="10">
        <v>117.24</v>
      </c>
      <c r="M247" s="5" t="s">
        <v>36</v>
      </c>
      <c r="N247" s="4">
        <v>78.5</v>
      </c>
      <c r="O247" s="13">
        <v>9.6</v>
      </c>
      <c r="P247" s="13">
        <v>36.6</v>
      </c>
      <c r="Q247" s="4">
        <v>328239523</v>
      </c>
    </row>
    <row r="248" spans="1:17" x14ac:dyDescent="0.3">
      <c r="A248" s="4">
        <v>261</v>
      </c>
      <c r="B248" s="4" t="s">
        <v>1039</v>
      </c>
      <c r="C248" s="4" t="s">
        <v>326</v>
      </c>
      <c r="D248" s="4" t="s">
        <v>327</v>
      </c>
      <c r="E248" s="4" t="s">
        <v>402</v>
      </c>
      <c r="F248" s="4" t="s">
        <v>291</v>
      </c>
      <c r="G248" s="4" t="b">
        <v>1</v>
      </c>
      <c r="H248" s="4" t="s">
        <v>25</v>
      </c>
      <c r="I248" s="4" t="s">
        <v>376</v>
      </c>
      <c r="J248" s="4" t="s">
        <v>1040</v>
      </c>
      <c r="K248" s="7">
        <v>8000</v>
      </c>
      <c r="L248" s="10">
        <v>180.75</v>
      </c>
      <c r="M248" s="5" t="s">
        <v>331</v>
      </c>
      <c r="N248" s="4">
        <v>72.7</v>
      </c>
      <c r="O248" s="13">
        <v>11.4</v>
      </c>
      <c r="P248" s="13">
        <v>46.2</v>
      </c>
      <c r="Q248" s="4">
        <v>144373535</v>
      </c>
    </row>
    <row r="249" spans="1:17" x14ac:dyDescent="0.3">
      <c r="A249" s="4">
        <v>261</v>
      </c>
      <c r="B249" s="4" t="s">
        <v>1041</v>
      </c>
      <c r="C249" s="4" t="s">
        <v>31</v>
      </c>
      <c r="D249" s="4" t="s">
        <v>983</v>
      </c>
      <c r="E249" s="4" t="s">
        <v>1042</v>
      </c>
      <c r="F249" s="4" t="s">
        <v>20</v>
      </c>
      <c r="G249" s="4" t="b">
        <v>1</v>
      </c>
      <c r="H249" s="4" t="s">
        <v>25</v>
      </c>
      <c r="I249" s="4" t="s">
        <v>27</v>
      </c>
      <c r="J249" s="4" t="s">
        <v>1043</v>
      </c>
      <c r="K249" s="7">
        <v>8000</v>
      </c>
      <c r="L249" s="10">
        <v>117.24</v>
      </c>
      <c r="M249" s="5" t="s">
        <v>36</v>
      </c>
      <c r="N249" s="4">
        <v>78.5</v>
      </c>
      <c r="O249" s="13">
        <v>9.6</v>
      </c>
      <c r="P249" s="13">
        <v>36.6</v>
      </c>
      <c r="Q249" s="4">
        <v>328239523</v>
      </c>
    </row>
    <row r="250" spans="1:17" x14ac:dyDescent="0.3">
      <c r="A250" s="4">
        <v>261</v>
      </c>
      <c r="B250" s="4" t="s">
        <v>1044</v>
      </c>
      <c r="C250" s="4" t="s">
        <v>31</v>
      </c>
      <c r="D250" s="4" t="s">
        <v>1045</v>
      </c>
      <c r="E250" s="4" t="s">
        <v>1046</v>
      </c>
      <c r="F250" s="4" t="s">
        <v>48</v>
      </c>
      <c r="G250" s="4" t="b">
        <v>1</v>
      </c>
      <c r="H250" s="4" t="s">
        <v>25</v>
      </c>
      <c r="I250" s="4" t="s">
        <v>1048</v>
      </c>
      <c r="J250" s="4" t="s">
        <v>1047</v>
      </c>
      <c r="K250" s="7">
        <v>8000</v>
      </c>
      <c r="L250" s="10">
        <v>117.24</v>
      </c>
      <c r="M250" s="5" t="s">
        <v>36</v>
      </c>
      <c r="N250" s="4">
        <v>78.5</v>
      </c>
      <c r="O250" s="13">
        <v>9.6</v>
      </c>
      <c r="P250" s="13">
        <v>36.6</v>
      </c>
      <c r="Q250" s="4">
        <v>328239523</v>
      </c>
    </row>
    <row r="251" spans="1:17" x14ac:dyDescent="0.3">
      <c r="A251" s="4">
        <v>261</v>
      </c>
      <c r="B251" s="4" t="s">
        <v>1049</v>
      </c>
      <c r="C251" s="4" t="s">
        <v>31</v>
      </c>
      <c r="D251" s="4" t="s">
        <v>32</v>
      </c>
      <c r="E251" s="4" t="s">
        <v>801</v>
      </c>
      <c r="F251" s="4" t="s">
        <v>48</v>
      </c>
      <c r="G251" s="4" t="b">
        <v>1</v>
      </c>
      <c r="H251" s="4" t="s">
        <v>25</v>
      </c>
      <c r="I251" s="4" t="s">
        <v>1051</v>
      </c>
      <c r="J251" s="4" t="s">
        <v>1050</v>
      </c>
      <c r="K251" s="7">
        <v>8000</v>
      </c>
      <c r="L251" s="10">
        <v>117.24</v>
      </c>
      <c r="M251" s="5" t="s">
        <v>36</v>
      </c>
      <c r="N251" s="4">
        <v>78.5</v>
      </c>
      <c r="O251" s="13">
        <v>9.6</v>
      </c>
      <c r="P251" s="13">
        <v>36.6</v>
      </c>
      <c r="Q251" s="4">
        <v>328239523</v>
      </c>
    </row>
    <row r="252" spans="1:17" x14ac:dyDescent="0.3">
      <c r="A252" s="4">
        <v>261</v>
      </c>
      <c r="B252" s="4" t="s">
        <v>1052</v>
      </c>
      <c r="C252" s="4" t="s">
        <v>486</v>
      </c>
      <c r="D252" s="4" t="s">
        <v>487</v>
      </c>
      <c r="E252" s="4" t="s">
        <v>1053</v>
      </c>
      <c r="F252" s="4" t="s">
        <v>271</v>
      </c>
      <c r="G252" s="4" t="b">
        <v>1</v>
      </c>
      <c r="H252" s="4" t="s">
        <v>25</v>
      </c>
      <c r="I252" s="4" t="s">
        <v>647</v>
      </c>
      <c r="J252" s="4" t="s">
        <v>1054</v>
      </c>
      <c r="K252" s="7">
        <v>8000</v>
      </c>
      <c r="L252" s="10">
        <v>116.48</v>
      </c>
      <c r="M252" s="5" t="s">
        <v>491</v>
      </c>
      <c r="N252" s="4">
        <v>79</v>
      </c>
      <c r="O252" s="13">
        <v>14.9</v>
      </c>
      <c r="P252" s="13">
        <v>46.1</v>
      </c>
      <c r="Q252" s="4">
        <v>10669709</v>
      </c>
    </row>
    <row r="253" spans="1:17" x14ac:dyDescent="0.3">
      <c r="A253" s="4">
        <v>268</v>
      </c>
      <c r="B253" s="4" t="s">
        <v>1055</v>
      </c>
      <c r="C253" s="4" t="s">
        <v>31</v>
      </c>
      <c r="D253" s="4" t="s">
        <v>1056</v>
      </c>
      <c r="E253" s="4" t="s">
        <v>801</v>
      </c>
      <c r="F253" s="4" t="s">
        <v>48</v>
      </c>
      <c r="G253" s="4" t="b">
        <v>1</v>
      </c>
      <c r="H253" s="4" t="s">
        <v>25</v>
      </c>
      <c r="I253" s="4" t="s">
        <v>1058</v>
      </c>
      <c r="J253" s="4" t="s">
        <v>1057</v>
      </c>
      <c r="K253" s="7">
        <v>7900</v>
      </c>
      <c r="L253" s="10">
        <v>117.24</v>
      </c>
      <c r="M253" s="5" t="s">
        <v>36</v>
      </c>
      <c r="N253" s="4">
        <v>78.5</v>
      </c>
      <c r="O253" s="13">
        <v>9.6</v>
      </c>
      <c r="P253" s="13">
        <v>36.6</v>
      </c>
      <c r="Q253" s="4">
        <v>328239523</v>
      </c>
    </row>
    <row r="254" spans="1:17" x14ac:dyDescent="0.3">
      <c r="A254" s="4">
        <v>268</v>
      </c>
      <c r="B254" s="4" t="s">
        <v>1059</v>
      </c>
      <c r="C254" s="4" t="s">
        <v>104</v>
      </c>
      <c r="D254" s="4" t="s">
        <v>1060</v>
      </c>
      <c r="E254" s="4" t="s">
        <v>1061</v>
      </c>
      <c r="F254" s="4" t="s">
        <v>20</v>
      </c>
      <c r="G254" s="4" t="b">
        <v>1</v>
      </c>
      <c r="H254" s="4" t="s">
        <v>25</v>
      </c>
      <c r="I254" s="4" t="s">
        <v>1062</v>
      </c>
      <c r="J254" s="4" t="s">
        <v>281</v>
      </c>
      <c r="K254" s="7">
        <v>7900</v>
      </c>
      <c r="L254" s="10">
        <v>125.08</v>
      </c>
      <c r="M254" s="5" t="s">
        <v>109</v>
      </c>
      <c r="N254" s="4">
        <v>77</v>
      </c>
      <c r="O254" s="13">
        <v>9.4</v>
      </c>
      <c r="P254" s="13">
        <v>59.2</v>
      </c>
      <c r="Q254" s="4">
        <v>1397715000</v>
      </c>
    </row>
    <row r="255" spans="1:17" x14ac:dyDescent="0.3">
      <c r="A255" s="4">
        <v>268</v>
      </c>
      <c r="B255" s="4" t="s">
        <v>1063</v>
      </c>
      <c r="C255" s="4" t="s">
        <v>31</v>
      </c>
      <c r="D255" s="4" t="s">
        <v>1064</v>
      </c>
      <c r="E255" s="4" t="s">
        <v>123</v>
      </c>
      <c r="F255" s="4" t="s">
        <v>20</v>
      </c>
      <c r="G255" s="4" t="b">
        <v>0</v>
      </c>
      <c r="H255" s="4" t="s">
        <v>84</v>
      </c>
      <c r="I255" s="4" t="s">
        <v>1066</v>
      </c>
      <c r="J255" s="4" t="s">
        <v>1065</v>
      </c>
      <c r="K255" s="7">
        <v>7900</v>
      </c>
      <c r="L255" s="10">
        <v>117.24</v>
      </c>
      <c r="M255" s="5" t="s">
        <v>36</v>
      </c>
      <c r="N255" s="4">
        <v>78.5</v>
      </c>
      <c r="O255" s="13">
        <v>9.6</v>
      </c>
      <c r="P255" s="13">
        <v>36.6</v>
      </c>
      <c r="Q255" s="4">
        <v>328239523</v>
      </c>
    </row>
    <row r="256" spans="1:17" x14ac:dyDescent="0.3">
      <c r="A256" s="4">
        <v>268</v>
      </c>
      <c r="B256" s="4" t="s">
        <v>1067</v>
      </c>
      <c r="C256" s="4" t="s">
        <v>799</v>
      </c>
      <c r="D256" s="4" t="s">
        <v>800</v>
      </c>
      <c r="E256" s="4" t="s">
        <v>1068</v>
      </c>
      <c r="F256" s="4" t="s">
        <v>37</v>
      </c>
      <c r="G256" s="4" t="b">
        <v>0</v>
      </c>
      <c r="H256" s="4" t="s">
        <v>25</v>
      </c>
      <c r="I256" s="4" t="s">
        <v>1070</v>
      </c>
      <c r="J256" s="4" t="s">
        <v>1069</v>
      </c>
      <c r="K256" s="7">
        <v>7900</v>
      </c>
      <c r="L256" s="10">
        <v>115.16</v>
      </c>
      <c r="M256" s="5" t="s">
        <v>803</v>
      </c>
      <c r="N256" s="4">
        <v>82.6</v>
      </c>
      <c r="O256" s="13">
        <v>15.6</v>
      </c>
      <c r="P256" s="13">
        <v>33.200000000000003</v>
      </c>
      <c r="Q256" s="4">
        <v>51709098</v>
      </c>
    </row>
    <row r="257" spans="1:17" x14ac:dyDescent="0.3">
      <c r="A257" s="4">
        <v>268</v>
      </c>
      <c r="B257" s="4" t="s">
        <v>1071</v>
      </c>
      <c r="C257" s="4" t="s">
        <v>31</v>
      </c>
      <c r="D257" s="4" t="s">
        <v>60</v>
      </c>
      <c r="E257" s="4" t="s">
        <v>801</v>
      </c>
      <c r="F257" s="4" t="s">
        <v>48</v>
      </c>
      <c r="G257" s="4" t="b">
        <v>1</v>
      </c>
      <c r="H257" s="4" t="s">
        <v>25</v>
      </c>
      <c r="I257" s="4" t="s">
        <v>1073</v>
      </c>
      <c r="J257" s="4" t="s">
        <v>1072</v>
      </c>
      <c r="K257" s="7">
        <v>7900</v>
      </c>
      <c r="L257" s="10">
        <v>117.24</v>
      </c>
      <c r="M257" s="5" t="s">
        <v>36</v>
      </c>
      <c r="N257" s="4">
        <v>78.5</v>
      </c>
      <c r="O257" s="13">
        <v>9.6</v>
      </c>
      <c r="P257" s="13">
        <v>36.6</v>
      </c>
      <c r="Q257" s="4">
        <v>328239523</v>
      </c>
    </row>
    <row r="258" spans="1:17" x14ac:dyDescent="0.3">
      <c r="A258" s="4">
        <v>268</v>
      </c>
      <c r="B258" s="4" t="s">
        <v>1074</v>
      </c>
      <c r="C258" s="4" t="s">
        <v>31</v>
      </c>
      <c r="D258" s="4" t="s">
        <v>60</v>
      </c>
      <c r="E258" s="4" t="s">
        <v>203</v>
      </c>
      <c r="F258" s="4" t="s">
        <v>48</v>
      </c>
      <c r="G258" s="4" t="b">
        <v>1</v>
      </c>
      <c r="H258" s="4" t="s">
        <v>25</v>
      </c>
      <c r="I258" s="4" t="s">
        <v>136</v>
      </c>
      <c r="J258" s="4" t="s">
        <v>1075</v>
      </c>
      <c r="K258" s="7">
        <v>7900</v>
      </c>
      <c r="L258" s="10">
        <v>117.24</v>
      </c>
      <c r="M258" s="5" t="s">
        <v>36</v>
      </c>
      <c r="N258" s="4">
        <v>78.5</v>
      </c>
      <c r="O258" s="13">
        <v>9.6</v>
      </c>
      <c r="P258" s="13">
        <v>36.6</v>
      </c>
      <c r="Q258" s="4">
        <v>328239523</v>
      </c>
    </row>
    <row r="259" spans="1:17" x14ac:dyDescent="0.3">
      <c r="A259" s="4">
        <v>268</v>
      </c>
      <c r="B259" s="4" t="s">
        <v>1076</v>
      </c>
      <c r="C259" s="4" t="s">
        <v>326</v>
      </c>
      <c r="D259" s="4" t="s">
        <v>327</v>
      </c>
      <c r="E259" s="4" t="s">
        <v>1077</v>
      </c>
      <c r="F259" s="4" t="s">
        <v>271</v>
      </c>
      <c r="G259" s="4" t="b">
        <v>1</v>
      </c>
      <c r="H259" s="4" t="s">
        <v>25</v>
      </c>
      <c r="I259" s="4" t="s">
        <v>797</v>
      </c>
      <c r="J259" s="4" t="s">
        <v>1078</v>
      </c>
      <c r="K259" s="7">
        <v>7900</v>
      </c>
      <c r="L259" s="10">
        <v>180.75</v>
      </c>
      <c r="M259" s="5" t="s">
        <v>331</v>
      </c>
      <c r="N259" s="4">
        <v>72.7</v>
      </c>
      <c r="O259" s="13">
        <v>11.4</v>
      </c>
      <c r="P259" s="13">
        <v>46.2</v>
      </c>
      <c r="Q259" s="4">
        <v>144373535</v>
      </c>
    </row>
    <row r="260" spans="1:17" x14ac:dyDescent="0.3">
      <c r="A260" s="4">
        <v>268</v>
      </c>
      <c r="B260" s="4" t="s">
        <v>1079</v>
      </c>
      <c r="C260" s="4" t="s">
        <v>207</v>
      </c>
      <c r="D260" s="4" t="s">
        <v>1080</v>
      </c>
      <c r="E260" s="4" t="s">
        <v>1081</v>
      </c>
      <c r="F260" s="4" t="s">
        <v>71</v>
      </c>
      <c r="G260" s="4" t="b">
        <v>1</v>
      </c>
      <c r="H260" s="4" t="s">
        <v>25</v>
      </c>
      <c r="I260" s="4" t="s">
        <v>754</v>
      </c>
      <c r="J260" s="4" t="s">
        <v>1082</v>
      </c>
      <c r="K260" s="7">
        <v>7900</v>
      </c>
      <c r="L260" s="10">
        <v>118.06</v>
      </c>
      <c r="M260" s="5" t="s">
        <v>211</v>
      </c>
      <c r="N260" s="4">
        <v>81.599999999999994</v>
      </c>
      <c r="O260" s="13">
        <v>25.4</v>
      </c>
      <c r="P260" s="13">
        <v>51.4</v>
      </c>
      <c r="Q260" s="4">
        <v>8877067</v>
      </c>
    </row>
    <row r="261" spans="1:17" x14ac:dyDescent="0.3">
      <c r="A261" s="4">
        <v>276</v>
      </c>
      <c r="B261" s="4" t="s">
        <v>1083</v>
      </c>
      <c r="C261" s="4" t="s">
        <v>31</v>
      </c>
      <c r="D261" s="4" t="s">
        <v>1084</v>
      </c>
      <c r="E261" s="4" t="s">
        <v>64</v>
      </c>
      <c r="F261" s="4" t="s">
        <v>64</v>
      </c>
      <c r="G261" s="4" t="b">
        <v>1</v>
      </c>
      <c r="H261" s="4" t="s">
        <v>25</v>
      </c>
      <c r="I261" s="4" t="s">
        <v>1086</v>
      </c>
      <c r="J261" s="4" t="s">
        <v>1085</v>
      </c>
      <c r="K261" s="7">
        <v>7800</v>
      </c>
      <c r="L261" s="10">
        <v>117.24</v>
      </c>
      <c r="M261" s="5" t="s">
        <v>36</v>
      </c>
      <c r="N261" s="4">
        <v>78.5</v>
      </c>
      <c r="O261" s="13">
        <v>9.6</v>
      </c>
      <c r="P261" s="13">
        <v>36.6</v>
      </c>
      <c r="Q261" s="4">
        <v>328239523</v>
      </c>
    </row>
    <row r="262" spans="1:17" x14ac:dyDescent="0.3">
      <c r="A262" s="4">
        <v>276</v>
      </c>
      <c r="B262" s="4" t="s">
        <v>1087</v>
      </c>
      <c r="C262" s="4" t="s">
        <v>104</v>
      </c>
      <c r="D262" s="4" t="s">
        <v>105</v>
      </c>
      <c r="E262" s="4" t="s">
        <v>1088</v>
      </c>
      <c r="F262" s="4" t="s">
        <v>249</v>
      </c>
      <c r="G262" s="4" t="b">
        <v>1</v>
      </c>
      <c r="H262" s="4" t="s">
        <v>25</v>
      </c>
      <c r="I262" s="4" t="s">
        <v>1089</v>
      </c>
      <c r="J262" s="4" t="s">
        <v>418</v>
      </c>
      <c r="K262" s="7">
        <v>7800</v>
      </c>
      <c r="L262" s="10">
        <v>125.08</v>
      </c>
      <c r="M262" s="5" t="s">
        <v>109</v>
      </c>
      <c r="N262" s="4">
        <v>77</v>
      </c>
      <c r="O262" s="13">
        <v>9.4</v>
      </c>
      <c r="P262" s="13">
        <v>59.2</v>
      </c>
      <c r="Q262" s="4">
        <v>1397715000</v>
      </c>
    </row>
    <row r="263" spans="1:17" x14ac:dyDescent="0.3">
      <c r="A263" s="4">
        <v>276</v>
      </c>
      <c r="B263" s="4" t="s">
        <v>1090</v>
      </c>
      <c r="C263" s="4" t="s">
        <v>104</v>
      </c>
      <c r="D263" s="4" t="s">
        <v>245</v>
      </c>
      <c r="E263" s="4" t="s">
        <v>1091</v>
      </c>
      <c r="F263" s="4" t="s">
        <v>37</v>
      </c>
      <c r="G263" s="4" t="b">
        <v>1</v>
      </c>
      <c r="H263" s="4" t="s">
        <v>25</v>
      </c>
      <c r="I263" s="4" t="s">
        <v>1093</v>
      </c>
      <c r="J263" s="4" t="s">
        <v>1092</v>
      </c>
      <c r="K263" s="7">
        <v>7800</v>
      </c>
      <c r="L263" s="10">
        <v>125.08</v>
      </c>
      <c r="M263" s="5" t="s">
        <v>109</v>
      </c>
      <c r="N263" s="4">
        <v>77</v>
      </c>
      <c r="O263" s="13">
        <v>9.4</v>
      </c>
      <c r="P263" s="13">
        <v>59.2</v>
      </c>
      <c r="Q263" s="4">
        <v>1397715000</v>
      </c>
    </row>
    <row r="264" spans="1:17" x14ac:dyDescent="0.3">
      <c r="A264" s="4">
        <v>276</v>
      </c>
      <c r="B264" s="4" t="s">
        <v>1094</v>
      </c>
      <c r="C264" s="4" t="s">
        <v>104</v>
      </c>
      <c r="D264" s="4" t="s">
        <v>601</v>
      </c>
      <c r="E264" s="4" t="s">
        <v>1095</v>
      </c>
      <c r="F264" s="4" t="s">
        <v>249</v>
      </c>
      <c r="G264" s="4" t="b">
        <v>1</v>
      </c>
      <c r="H264" s="4" t="s">
        <v>25</v>
      </c>
      <c r="I264" s="4" t="s">
        <v>1097</v>
      </c>
      <c r="J264" s="4" t="s">
        <v>1096</v>
      </c>
      <c r="K264" s="7">
        <v>7800</v>
      </c>
      <c r="L264" s="10">
        <v>125.08</v>
      </c>
      <c r="M264" s="5" t="s">
        <v>109</v>
      </c>
      <c r="N264" s="4">
        <v>77</v>
      </c>
      <c r="O264" s="13">
        <v>9.4</v>
      </c>
      <c r="P264" s="13">
        <v>59.2</v>
      </c>
      <c r="Q264" s="4">
        <v>1397715000</v>
      </c>
    </row>
    <row r="265" spans="1:17" x14ac:dyDescent="0.3">
      <c r="A265" s="4">
        <v>282</v>
      </c>
      <c r="B265" s="4" t="s">
        <v>1098</v>
      </c>
      <c r="C265" s="4" t="s">
        <v>22</v>
      </c>
      <c r="D265" s="4" t="s">
        <v>364</v>
      </c>
      <c r="E265" s="4" t="s">
        <v>365</v>
      </c>
      <c r="F265" s="4" t="s">
        <v>102</v>
      </c>
      <c r="G265" s="4" t="b">
        <v>0</v>
      </c>
      <c r="H265" s="4" t="s">
        <v>25</v>
      </c>
      <c r="I265" s="4" t="s">
        <v>1099</v>
      </c>
      <c r="J265" s="4" t="s">
        <v>366</v>
      </c>
      <c r="K265" s="7">
        <v>7700</v>
      </c>
      <c r="L265" s="10">
        <v>110.05</v>
      </c>
      <c r="M265" s="5" t="s">
        <v>28</v>
      </c>
      <c r="N265" s="4">
        <v>82.5</v>
      </c>
      <c r="O265" s="13">
        <v>24.2</v>
      </c>
      <c r="P265" s="13">
        <v>60.7</v>
      </c>
      <c r="Q265" s="4">
        <v>67059887</v>
      </c>
    </row>
    <row r="266" spans="1:17" x14ac:dyDescent="0.3">
      <c r="A266" s="4">
        <v>282</v>
      </c>
      <c r="B266" s="4" t="s">
        <v>1100</v>
      </c>
      <c r="C266" s="4" t="s">
        <v>22</v>
      </c>
      <c r="D266" s="4" t="s">
        <v>364</v>
      </c>
      <c r="E266" s="4" t="s">
        <v>365</v>
      </c>
      <c r="F266" s="4" t="s">
        <v>102</v>
      </c>
      <c r="G266" s="4" t="b">
        <v>0</v>
      </c>
      <c r="H266" s="4" t="s">
        <v>84</v>
      </c>
      <c r="I266" s="4" t="s">
        <v>1102</v>
      </c>
      <c r="J266" s="4" t="s">
        <v>1101</v>
      </c>
      <c r="K266" s="7">
        <v>7700</v>
      </c>
      <c r="L266" s="10">
        <v>110.05</v>
      </c>
      <c r="M266" s="5" t="s">
        <v>28</v>
      </c>
      <c r="N266" s="4">
        <v>82.5</v>
      </c>
      <c r="O266" s="13">
        <v>24.2</v>
      </c>
      <c r="P266" s="13">
        <v>60.7</v>
      </c>
      <c r="Q266" s="4">
        <v>67059887</v>
      </c>
    </row>
    <row r="267" spans="1:17" x14ac:dyDescent="0.3">
      <c r="A267" s="4">
        <v>282</v>
      </c>
      <c r="B267" s="4" t="s">
        <v>1103</v>
      </c>
      <c r="C267" s="4" t="s">
        <v>31</v>
      </c>
      <c r="D267" s="4" t="s">
        <v>885</v>
      </c>
      <c r="E267" s="4" t="s">
        <v>1104</v>
      </c>
      <c r="F267" s="4" t="s">
        <v>58</v>
      </c>
      <c r="G267" s="4" t="b">
        <v>1</v>
      </c>
      <c r="H267" s="4" t="s">
        <v>25</v>
      </c>
      <c r="I267" s="4" t="s">
        <v>136</v>
      </c>
      <c r="J267" s="4" t="s">
        <v>1105</v>
      </c>
      <c r="K267" s="7">
        <v>7700</v>
      </c>
      <c r="L267" s="10">
        <v>117.24</v>
      </c>
      <c r="M267" s="5" t="s">
        <v>36</v>
      </c>
      <c r="N267" s="4">
        <v>78.5</v>
      </c>
      <c r="O267" s="13">
        <v>9.6</v>
      </c>
      <c r="P267" s="13">
        <v>36.6</v>
      </c>
      <c r="Q267" s="4">
        <v>328239523</v>
      </c>
    </row>
    <row r="268" spans="1:17" x14ac:dyDescent="0.3">
      <c r="A268" s="4">
        <v>282</v>
      </c>
      <c r="B268" s="4" t="s">
        <v>1106</v>
      </c>
      <c r="C268" s="4" t="s">
        <v>104</v>
      </c>
      <c r="D268" s="4" t="s">
        <v>152</v>
      </c>
      <c r="E268" s="4" t="s">
        <v>1107</v>
      </c>
      <c r="F268" s="4" t="s">
        <v>37</v>
      </c>
      <c r="G268" s="4" t="b">
        <v>1</v>
      </c>
      <c r="H268" s="4" t="s">
        <v>25</v>
      </c>
      <c r="I268" s="4" t="s">
        <v>216</v>
      </c>
      <c r="J268" s="4" t="s">
        <v>418</v>
      </c>
      <c r="K268" s="7">
        <v>7700</v>
      </c>
      <c r="L268" s="10">
        <v>125.08</v>
      </c>
      <c r="M268" s="5" t="s">
        <v>109</v>
      </c>
      <c r="N268" s="4">
        <v>77</v>
      </c>
      <c r="O268" s="13">
        <v>9.4</v>
      </c>
      <c r="P268" s="13">
        <v>59.2</v>
      </c>
      <c r="Q268" s="4">
        <v>1397715000</v>
      </c>
    </row>
    <row r="269" spans="1:17" x14ac:dyDescent="0.3">
      <c r="A269" s="4">
        <v>282</v>
      </c>
      <c r="B269" s="4" t="s">
        <v>1108</v>
      </c>
      <c r="C269" s="4" t="s">
        <v>104</v>
      </c>
      <c r="D269" s="4" t="s">
        <v>654</v>
      </c>
      <c r="E269" s="4" t="s">
        <v>655</v>
      </c>
      <c r="F269" s="4" t="s">
        <v>380</v>
      </c>
      <c r="G269" s="4" t="b">
        <v>1</v>
      </c>
      <c r="H269" s="4" t="s">
        <v>25</v>
      </c>
      <c r="I269" s="4" t="s">
        <v>1109</v>
      </c>
      <c r="J269" s="4" t="s">
        <v>656</v>
      </c>
      <c r="K269" s="7">
        <v>7700</v>
      </c>
      <c r="L269" s="10">
        <v>125.08</v>
      </c>
      <c r="M269" s="5" t="s">
        <v>109</v>
      </c>
      <c r="N269" s="4">
        <v>77</v>
      </c>
      <c r="O269" s="13">
        <v>9.4</v>
      </c>
      <c r="P269" s="13">
        <v>59.2</v>
      </c>
      <c r="Q269" s="4">
        <v>1397715000</v>
      </c>
    </row>
    <row r="270" spans="1:17" x14ac:dyDescent="0.3">
      <c r="A270" s="4">
        <v>282</v>
      </c>
      <c r="B270" s="4" t="s">
        <v>1110</v>
      </c>
      <c r="C270" s="4" t="s">
        <v>31</v>
      </c>
      <c r="D270" s="4" t="s">
        <v>463</v>
      </c>
      <c r="E270" s="4" t="s">
        <v>386</v>
      </c>
      <c r="F270" s="4" t="s">
        <v>37</v>
      </c>
      <c r="G270" s="4" t="b">
        <v>1</v>
      </c>
      <c r="H270" s="4" t="s">
        <v>25</v>
      </c>
      <c r="I270" s="4" t="s">
        <v>1112</v>
      </c>
      <c r="J270" s="4" t="s">
        <v>1111</v>
      </c>
      <c r="K270" s="7">
        <v>7700</v>
      </c>
      <c r="L270" s="10">
        <v>117.24</v>
      </c>
      <c r="M270" s="5" t="s">
        <v>36</v>
      </c>
      <c r="N270" s="4">
        <v>78.5</v>
      </c>
      <c r="O270" s="13">
        <v>9.6</v>
      </c>
      <c r="P270" s="13">
        <v>36.6</v>
      </c>
      <c r="Q270" s="4">
        <v>328239523</v>
      </c>
    </row>
    <row r="271" spans="1:17" x14ac:dyDescent="0.3">
      <c r="A271" s="4">
        <v>282</v>
      </c>
      <c r="B271" s="4" t="s">
        <v>1113</v>
      </c>
      <c r="C271" s="4" t="s">
        <v>31</v>
      </c>
      <c r="D271" s="4" t="s">
        <v>633</v>
      </c>
      <c r="E271" s="4" t="s">
        <v>547</v>
      </c>
      <c r="F271" s="4" t="s">
        <v>350</v>
      </c>
      <c r="G271" s="4" t="b">
        <v>1</v>
      </c>
      <c r="H271" s="4" t="s">
        <v>25</v>
      </c>
      <c r="I271" s="4" t="s">
        <v>254</v>
      </c>
      <c r="J271" s="4" t="s">
        <v>1114</v>
      </c>
      <c r="K271" s="7">
        <v>7700</v>
      </c>
      <c r="L271" s="10">
        <v>117.24</v>
      </c>
      <c r="M271" s="5" t="s">
        <v>36</v>
      </c>
      <c r="N271" s="4">
        <v>78.5</v>
      </c>
      <c r="O271" s="13">
        <v>9.6</v>
      </c>
      <c r="P271" s="13">
        <v>36.6</v>
      </c>
      <c r="Q271" s="4">
        <v>328239523</v>
      </c>
    </row>
    <row r="272" spans="1:17" x14ac:dyDescent="0.3">
      <c r="A272" s="4">
        <v>282</v>
      </c>
      <c r="B272" s="4" t="s">
        <v>1115</v>
      </c>
      <c r="C272" s="4" t="s">
        <v>1116</v>
      </c>
      <c r="D272" s="4" t="s">
        <v>1117</v>
      </c>
      <c r="E272" s="4" t="s">
        <v>464</v>
      </c>
      <c r="F272" s="4" t="s">
        <v>461</v>
      </c>
      <c r="G272" s="4" t="b">
        <v>1</v>
      </c>
      <c r="H272" s="4" t="s">
        <v>25</v>
      </c>
      <c r="I272" s="4" t="s">
        <v>1119</v>
      </c>
      <c r="J272" s="4" t="s">
        <v>1118</v>
      </c>
      <c r="K272" s="7">
        <v>7700</v>
      </c>
      <c r="L272" s="10">
        <v>120.27</v>
      </c>
      <c r="M272" s="5" t="s">
        <v>1120</v>
      </c>
      <c r="N272" s="4">
        <v>82.8</v>
      </c>
      <c r="O272" s="13">
        <v>23.9</v>
      </c>
      <c r="P272" s="13">
        <v>36.200000000000003</v>
      </c>
      <c r="Q272" s="4">
        <v>5347896</v>
      </c>
    </row>
    <row r="273" spans="1:17" x14ac:dyDescent="0.3">
      <c r="A273" s="4">
        <v>290</v>
      </c>
      <c r="B273" s="4" t="s">
        <v>1121</v>
      </c>
      <c r="C273" s="4" t="s">
        <v>104</v>
      </c>
      <c r="D273" s="4" t="s">
        <v>1122</v>
      </c>
      <c r="E273" s="4" t="s">
        <v>1123</v>
      </c>
      <c r="F273" s="4" t="s">
        <v>291</v>
      </c>
      <c r="G273" s="4" t="b">
        <v>1</v>
      </c>
      <c r="H273" s="4" t="s">
        <v>25</v>
      </c>
      <c r="I273" s="4" t="s">
        <v>1125</v>
      </c>
      <c r="J273" s="4" t="s">
        <v>1124</v>
      </c>
      <c r="K273" s="7">
        <v>7600</v>
      </c>
      <c r="L273" s="10">
        <v>125.08</v>
      </c>
      <c r="M273" s="5" t="s">
        <v>109</v>
      </c>
      <c r="N273" s="4">
        <v>77</v>
      </c>
      <c r="O273" s="13">
        <v>9.4</v>
      </c>
      <c r="P273" s="13">
        <v>59.2</v>
      </c>
      <c r="Q273" s="4">
        <v>1397715000</v>
      </c>
    </row>
    <row r="274" spans="1:17" x14ac:dyDescent="0.3">
      <c r="A274" s="4">
        <v>290</v>
      </c>
      <c r="B274" s="4" t="s">
        <v>1126</v>
      </c>
      <c r="C274" s="4" t="s">
        <v>73</v>
      </c>
      <c r="D274" s="4" t="s">
        <v>142</v>
      </c>
      <c r="E274" s="4" t="s">
        <v>516</v>
      </c>
      <c r="F274" s="4" t="s">
        <v>350</v>
      </c>
      <c r="G274" s="4" t="b">
        <v>1</v>
      </c>
      <c r="H274" s="4" t="s">
        <v>25</v>
      </c>
      <c r="I274" s="4" t="s">
        <v>1128</v>
      </c>
      <c r="J274" s="4" t="s">
        <v>1127</v>
      </c>
      <c r="K274" s="7">
        <v>7600</v>
      </c>
      <c r="L274" s="10">
        <v>180.44</v>
      </c>
      <c r="M274" s="5" t="s">
        <v>77</v>
      </c>
      <c r="N274" s="4">
        <v>69.400000000000006</v>
      </c>
      <c r="O274" s="13">
        <v>11.2</v>
      </c>
      <c r="P274" s="13">
        <v>49.7</v>
      </c>
      <c r="Q274" s="4">
        <v>1366417754</v>
      </c>
    </row>
    <row r="275" spans="1:17" x14ac:dyDescent="0.3">
      <c r="A275" s="4">
        <v>290</v>
      </c>
      <c r="B275" s="4" t="s">
        <v>1129</v>
      </c>
      <c r="C275" s="4" t="s">
        <v>225</v>
      </c>
      <c r="D275" s="4" t="s">
        <v>226</v>
      </c>
      <c r="E275" s="4" t="s">
        <v>347</v>
      </c>
      <c r="F275" s="4" t="s">
        <v>249</v>
      </c>
      <c r="G275" s="4" t="b">
        <v>1</v>
      </c>
      <c r="H275" s="4" t="s">
        <v>25</v>
      </c>
      <c r="I275" s="4" t="s">
        <v>411</v>
      </c>
      <c r="J275" s="4" t="s">
        <v>1130</v>
      </c>
      <c r="K275" s="7">
        <v>7600</v>
      </c>
      <c r="L275" s="10">
        <v>119.62</v>
      </c>
      <c r="M275" s="5" t="s">
        <v>230</v>
      </c>
      <c r="N275" s="4">
        <v>81.3</v>
      </c>
      <c r="O275" s="13">
        <v>25.5</v>
      </c>
      <c r="P275" s="13">
        <v>30.6</v>
      </c>
      <c r="Q275" s="4">
        <v>66834405</v>
      </c>
    </row>
    <row r="276" spans="1:17" x14ac:dyDescent="0.3">
      <c r="A276" s="4">
        <v>290</v>
      </c>
      <c r="B276" s="4" t="s">
        <v>1131</v>
      </c>
      <c r="C276" s="4" t="s">
        <v>31</v>
      </c>
      <c r="D276" s="4" t="s">
        <v>32</v>
      </c>
      <c r="E276" s="4" t="s">
        <v>856</v>
      </c>
      <c r="F276" s="4" t="s">
        <v>37</v>
      </c>
      <c r="G276" s="4" t="b">
        <v>1</v>
      </c>
      <c r="H276" s="4" t="s">
        <v>25</v>
      </c>
      <c r="I276" s="4" t="s">
        <v>1133</v>
      </c>
      <c r="J276" s="4" t="s">
        <v>1132</v>
      </c>
      <c r="K276" s="7">
        <v>7600</v>
      </c>
      <c r="L276" s="10">
        <v>117.24</v>
      </c>
      <c r="M276" s="5" t="s">
        <v>36</v>
      </c>
      <c r="N276" s="4">
        <v>78.5</v>
      </c>
      <c r="O276" s="13">
        <v>9.6</v>
      </c>
      <c r="P276" s="13">
        <v>36.6</v>
      </c>
      <c r="Q276" s="4">
        <v>328239523</v>
      </c>
    </row>
    <row r="277" spans="1:17" x14ac:dyDescent="0.3">
      <c r="A277" s="4">
        <v>290</v>
      </c>
      <c r="B277" s="4" t="s">
        <v>1134</v>
      </c>
      <c r="C277" s="4" t="s">
        <v>554</v>
      </c>
      <c r="D277" s="4" t="s">
        <v>554</v>
      </c>
      <c r="E277" s="4" t="s">
        <v>461</v>
      </c>
      <c r="F277" s="4" t="s">
        <v>461</v>
      </c>
      <c r="G277" s="4" t="b">
        <v>0</v>
      </c>
      <c r="H277" s="4" t="s">
        <v>25</v>
      </c>
      <c r="I277" s="4" t="s">
        <v>695</v>
      </c>
      <c r="J277" s="4" t="s">
        <v>1135</v>
      </c>
      <c r="K277" s="7">
        <v>7600</v>
      </c>
      <c r="L277" s="10">
        <v>114.41</v>
      </c>
      <c r="M277" s="5" t="s">
        <v>558</v>
      </c>
      <c r="N277" s="4">
        <v>83.1</v>
      </c>
      <c r="O277" s="13">
        <v>13.1</v>
      </c>
      <c r="P277" s="13">
        <v>21</v>
      </c>
      <c r="Q277" s="4">
        <v>5703569</v>
      </c>
    </row>
    <row r="278" spans="1:17" x14ac:dyDescent="0.3">
      <c r="A278" s="4">
        <v>290</v>
      </c>
      <c r="B278" s="4" t="s">
        <v>1136</v>
      </c>
      <c r="C278" s="4" t="s">
        <v>225</v>
      </c>
      <c r="D278" s="4" t="s">
        <v>226</v>
      </c>
      <c r="E278" s="4" t="s">
        <v>347</v>
      </c>
      <c r="F278" s="4" t="s">
        <v>249</v>
      </c>
      <c r="G278" s="4" t="b">
        <v>1</v>
      </c>
      <c r="H278" s="4" t="s">
        <v>25</v>
      </c>
      <c r="I278" s="4" t="s">
        <v>189</v>
      </c>
      <c r="J278" s="4" t="s">
        <v>1137</v>
      </c>
      <c r="K278" s="7">
        <v>7600</v>
      </c>
      <c r="L278" s="10">
        <v>119.62</v>
      </c>
      <c r="M278" s="5" t="s">
        <v>230</v>
      </c>
      <c r="N278" s="4">
        <v>81.3</v>
      </c>
      <c r="O278" s="13">
        <v>25.5</v>
      </c>
      <c r="P278" s="13">
        <v>30.6</v>
      </c>
      <c r="Q278" s="4">
        <v>66834405</v>
      </c>
    </row>
    <row r="279" spans="1:17" x14ac:dyDescent="0.3">
      <c r="A279" s="4">
        <v>290</v>
      </c>
      <c r="B279" s="4" t="s">
        <v>1138</v>
      </c>
      <c r="C279" s="4" t="s">
        <v>31</v>
      </c>
      <c r="D279" s="4" t="s">
        <v>60</v>
      </c>
      <c r="E279" s="4" t="s">
        <v>464</v>
      </c>
      <c r="F279" s="4" t="s">
        <v>461</v>
      </c>
      <c r="G279" s="4" t="b">
        <v>0</v>
      </c>
      <c r="H279" s="4" t="s">
        <v>25</v>
      </c>
      <c r="I279" s="4" t="s">
        <v>391</v>
      </c>
      <c r="J279" s="4" t="s">
        <v>1139</v>
      </c>
      <c r="K279" s="7">
        <v>7600</v>
      </c>
      <c r="L279" s="10">
        <v>117.24</v>
      </c>
      <c r="M279" s="5" t="s">
        <v>36</v>
      </c>
      <c r="N279" s="4">
        <v>78.5</v>
      </c>
      <c r="O279" s="13">
        <v>9.6</v>
      </c>
      <c r="P279" s="13">
        <v>36.6</v>
      </c>
      <c r="Q279" s="4">
        <v>328239523</v>
      </c>
    </row>
    <row r="280" spans="1:17" x14ac:dyDescent="0.3">
      <c r="A280" s="4">
        <v>290</v>
      </c>
      <c r="B280" s="4" t="s">
        <v>1140</v>
      </c>
      <c r="C280" s="4" t="s">
        <v>104</v>
      </c>
      <c r="D280" s="4" t="s">
        <v>245</v>
      </c>
      <c r="E280" s="4" t="s">
        <v>516</v>
      </c>
      <c r="F280" s="4" t="s">
        <v>350</v>
      </c>
      <c r="G280" s="4" t="b">
        <v>1</v>
      </c>
      <c r="H280" s="4" t="s">
        <v>84</v>
      </c>
      <c r="I280" s="4" t="s">
        <v>1141</v>
      </c>
      <c r="J280" s="4" t="s">
        <v>107</v>
      </c>
      <c r="K280" s="7">
        <v>7600</v>
      </c>
      <c r="L280" s="10">
        <v>125.08</v>
      </c>
      <c r="M280" s="5" t="s">
        <v>109</v>
      </c>
      <c r="N280" s="4">
        <v>77</v>
      </c>
      <c r="O280" s="13">
        <v>9.4</v>
      </c>
      <c r="P280" s="13">
        <v>59.2</v>
      </c>
      <c r="Q280" s="4">
        <v>1397715000</v>
      </c>
    </row>
    <row r="281" spans="1:17" x14ac:dyDescent="0.3">
      <c r="A281" s="4">
        <v>299</v>
      </c>
      <c r="B281" s="4" t="s">
        <v>1142</v>
      </c>
      <c r="C281" s="4" t="s">
        <v>31</v>
      </c>
      <c r="D281" s="4" t="s">
        <v>983</v>
      </c>
      <c r="E281" s="4" t="s">
        <v>1042</v>
      </c>
      <c r="F281" s="4" t="s">
        <v>589</v>
      </c>
      <c r="G281" s="4" t="b">
        <v>1</v>
      </c>
      <c r="H281" s="4" t="s">
        <v>25</v>
      </c>
      <c r="I281" s="4" t="s">
        <v>1144</v>
      </c>
      <c r="J281" s="4" t="s">
        <v>1143</v>
      </c>
      <c r="K281" s="7">
        <v>7500</v>
      </c>
      <c r="L281" s="10">
        <v>117.24</v>
      </c>
      <c r="M281" s="5" t="s">
        <v>36</v>
      </c>
      <c r="N281" s="4">
        <v>78.5</v>
      </c>
      <c r="O281" s="13">
        <v>9.6</v>
      </c>
      <c r="P281" s="13">
        <v>36.6</v>
      </c>
      <c r="Q281" s="4">
        <v>328239523</v>
      </c>
    </row>
    <row r="282" spans="1:17" x14ac:dyDescent="0.3">
      <c r="A282" s="4">
        <v>299</v>
      </c>
      <c r="B282" s="4" t="s">
        <v>1145</v>
      </c>
      <c r="C282" s="4" t="s">
        <v>31</v>
      </c>
      <c r="D282" s="4" t="s">
        <v>1146</v>
      </c>
      <c r="E282" s="4" t="s">
        <v>1147</v>
      </c>
      <c r="F282" s="4" t="s">
        <v>20</v>
      </c>
      <c r="G282" s="4" t="b">
        <v>0</v>
      </c>
      <c r="H282" s="4" t="s">
        <v>25</v>
      </c>
      <c r="I282" s="4" t="s">
        <v>118</v>
      </c>
      <c r="J282" s="4" t="s">
        <v>1148</v>
      </c>
      <c r="K282" s="7">
        <v>7500</v>
      </c>
      <c r="L282" s="10">
        <v>117.24</v>
      </c>
      <c r="M282" s="5" t="s">
        <v>36</v>
      </c>
      <c r="N282" s="4">
        <v>78.5</v>
      </c>
      <c r="O282" s="13">
        <v>9.6</v>
      </c>
      <c r="P282" s="13">
        <v>36.6</v>
      </c>
      <c r="Q282" s="4">
        <v>328239523</v>
      </c>
    </row>
    <row r="283" spans="1:17" x14ac:dyDescent="0.3">
      <c r="A283" s="4">
        <v>299</v>
      </c>
      <c r="B283" s="4" t="s">
        <v>1149</v>
      </c>
      <c r="C283" s="4" t="s">
        <v>104</v>
      </c>
      <c r="D283" s="4" t="s">
        <v>1060</v>
      </c>
      <c r="E283" s="4" t="s">
        <v>1061</v>
      </c>
      <c r="F283" s="4" t="s">
        <v>20</v>
      </c>
      <c r="G283" s="4" t="b">
        <v>1</v>
      </c>
      <c r="H283" s="4" t="s">
        <v>25</v>
      </c>
      <c r="I283" s="4" t="s">
        <v>1150</v>
      </c>
      <c r="J283" s="4" t="s">
        <v>281</v>
      </c>
      <c r="K283" s="7">
        <v>7500</v>
      </c>
      <c r="L283" s="10">
        <v>125.08</v>
      </c>
      <c r="M283" s="5" t="s">
        <v>109</v>
      </c>
      <c r="N283" s="4">
        <v>77</v>
      </c>
      <c r="O283" s="13">
        <v>9.4</v>
      </c>
      <c r="P283" s="13">
        <v>59.2</v>
      </c>
      <c r="Q283" s="4">
        <v>1397715000</v>
      </c>
    </row>
    <row r="284" spans="1:17" x14ac:dyDescent="0.3">
      <c r="A284" s="4">
        <v>299</v>
      </c>
      <c r="B284" s="4" t="s">
        <v>1151</v>
      </c>
      <c r="C284" s="4" t="s">
        <v>31</v>
      </c>
      <c r="D284" s="4" t="s">
        <v>300</v>
      </c>
      <c r="E284" s="4" t="s">
        <v>203</v>
      </c>
      <c r="F284" s="4" t="s">
        <v>48</v>
      </c>
      <c r="G284" s="4" t="b">
        <v>1</v>
      </c>
      <c r="H284" s="4" t="s">
        <v>25</v>
      </c>
      <c r="I284" s="4" t="s">
        <v>1152</v>
      </c>
      <c r="J284" s="4" t="s">
        <v>593</v>
      </c>
      <c r="K284" s="7">
        <v>7500</v>
      </c>
      <c r="L284" s="10">
        <v>117.24</v>
      </c>
      <c r="M284" s="5" t="s">
        <v>36</v>
      </c>
      <c r="N284" s="4">
        <v>78.5</v>
      </c>
      <c r="O284" s="13">
        <v>9.6</v>
      </c>
      <c r="P284" s="13">
        <v>36.6</v>
      </c>
      <c r="Q284" s="4">
        <v>328239523</v>
      </c>
    </row>
    <row r="285" spans="1:17" x14ac:dyDescent="0.3">
      <c r="A285" s="4">
        <v>299</v>
      </c>
      <c r="B285" s="4" t="s">
        <v>1153</v>
      </c>
      <c r="C285" s="4" t="s">
        <v>31</v>
      </c>
      <c r="D285" s="4" t="s">
        <v>60</v>
      </c>
      <c r="E285" s="4" t="s">
        <v>801</v>
      </c>
      <c r="F285" s="4" t="s">
        <v>48</v>
      </c>
      <c r="G285" s="4" t="b">
        <v>1</v>
      </c>
      <c r="H285" s="4" t="s">
        <v>25</v>
      </c>
      <c r="I285" s="4" t="s">
        <v>1112</v>
      </c>
      <c r="J285" s="4" t="s">
        <v>1154</v>
      </c>
      <c r="K285" s="7">
        <v>7500</v>
      </c>
      <c r="L285" s="10">
        <v>117.24</v>
      </c>
      <c r="M285" s="5" t="s">
        <v>36</v>
      </c>
      <c r="N285" s="4">
        <v>78.5</v>
      </c>
      <c r="O285" s="13">
        <v>9.6</v>
      </c>
      <c r="P285" s="13">
        <v>36.6</v>
      </c>
      <c r="Q285" s="4">
        <v>328239523</v>
      </c>
    </row>
    <row r="286" spans="1:17" x14ac:dyDescent="0.3">
      <c r="A286" s="4">
        <v>299</v>
      </c>
      <c r="B286" s="4" t="s">
        <v>1155</v>
      </c>
      <c r="C286" s="4" t="s">
        <v>554</v>
      </c>
      <c r="D286" s="4" t="s">
        <v>554</v>
      </c>
      <c r="E286" s="4" t="s">
        <v>1156</v>
      </c>
      <c r="F286" s="4" t="s">
        <v>102</v>
      </c>
      <c r="G286" s="4" t="b">
        <v>1</v>
      </c>
      <c r="H286" s="4" t="s">
        <v>25</v>
      </c>
      <c r="I286" s="4" t="s">
        <v>1157</v>
      </c>
      <c r="J286" s="4" t="s">
        <v>154</v>
      </c>
      <c r="K286" s="7">
        <v>7500</v>
      </c>
      <c r="L286" s="10">
        <v>114.41</v>
      </c>
      <c r="M286" s="5" t="s">
        <v>558</v>
      </c>
      <c r="N286" s="4">
        <v>83.1</v>
      </c>
      <c r="O286" s="13">
        <v>13.1</v>
      </c>
      <c r="P286" s="13">
        <v>21</v>
      </c>
      <c r="Q286" s="4">
        <v>5703569</v>
      </c>
    </row>
    <row r="287" spans="1:17" x14ac:dyDescent="0.3">
      <c r="A287" s="4">
        <v>305</v>
      </c>
      <c r="B287" s="4" t="s">
        <v>1158</v>
      </c>
      <c r="C287" s="4" t="s">
        <v>31</v>
      </c>
      <c r="D287" s="4" t="s">
        <v>1159</v>
      </c>
      <c r="E287" s="4" t="s">
        <v>730</v>
      </c>
      <c r="F287" s="4" t="s">
        <v>37</v>
      </c>
      <c r="G287" s="4" t="b">
        <v>1</v>
      </c>
      <c r="H287" s="4" t="s">
        <v>25</v>
      </c>
      <c r="I287" s="4" t="s">
        <v>349</v>
      </c>
      <c r="J287" s="4" t="s">
        <v>1160</v>
      </c>
      <c r="K287" s="7">
        <v>7400</v>
      </c>
      <c r="L287" s="10">
        <v>117.24</v>
      </c>
      <c r="M287" s="5" t="s">
        <v>36</v>
      </c>
      <c r="N287" s="4">
        <v>78.5</v>
      </c>
      <c r="O287" s="13">
        <v>9.6</v>
      </c>
      <c r="P287" s="13">
        <v>36.6</v>
      </c>
      <c r="Q287" s="4">
        <v>328239523</v>
      </c>
    </row>
    <row r="288" spans="1:17" x14ac:dyDescent="0.3">
      <c r="A288" s="4">
        <v>305</v>
      </c>
      <c r="B288" s="4" t="s">
        <v>1161</v>
      </c>
      <c r="C288" s="4" t="s">
        <v>225</v>
      </c>
      <c r="D288" s="4" t="s">
        <v>226</v>
      </c>
      <c r="E288" s="4" t="s">
        <v>1088</v>
      </c>
      <c r="F288" s="4" t="s">
        <v>249</v>
      </c>
      <c r="G288" s="4" t="b">
        <v>0</v>
      </c>
      <c r="H288" s="4" t="s">
        <v>25</v>
      </c>
      <c r="I288" s="4" t="s">
        <v>1163</v>
      </c>
      <c r="J288" s="4" t="s">
        <v>1162</v>
      </c>
      <c r="K288" s="7">
        <v>7400</v>
      </c>
      <c r="L288" s="10">
        <v>119.62</v>
      </c>
      <c r="M288" s="5" t="s">
        <v>230</v>
      </c>
      <c r="N288" s="4">
        <v>81.3</v>
      </c>
      <c r="O288" s="13">
        <v>25.5</v>
      </c>
      <c r="P288" s="13">
        <v>30.6</v>
      </c>
      <c r="Q288" s="4">
        <v>66834405</v>
      </c>
    </row>
    <row r="289" spans="1:17" x14ac:dyDescent="0.3">
      <c r="A289" s="4">
        <v>305</v>
      </c>
      <c r="B289" s="4" t="s">
        <v>1164</v>
      </c>
      <c r="C289" s="4" t="s">
        <v>104</v>
      </c>
      <c r="D289" s="4" t="s">
        <v>826</v>
      </c>
      <c r="E289" s="4" t="s">
        <v>1165</v>
      </c>
      <c r="F289" s="4" t="s">
        <v>20</v>
      </c>
      <c r="G289" s="4" t="b">
        <v>1</v>
      </c>
      <c r="H289" s="4" t="s">
        <v>25</v>
      </c>
      <c r="I289" s="4" t="s">
        <v>1166</v>
      </c>
      <c r="J289" s="4" t="s">
        <v>193</v>
      </c>
      <c r="K289" s="7">
        <v>7400</v>
      </c>
      <c r="L289" s="10">
        <v>125.08</v>
      </c>
      <c r="M289" s="5" t="s">
        <v>109</v>
      </c>
      <c r="N289" s="4">
        <v>77</v>
      </c>
      <c r="O289" s="13">
        <v>9.4</v>
      </c>
      <c r="P289" s="13">
        <v>59.2</v>
      </c>
      <c r="Q289" s="4">
        <v>1397715000</v>
      </c>
    </row>
    <row r="290" spans="1:17" x14ac:dyDescent="0.3">
      <c r="A290" s="4">
        <v>305</v>
      </c>
      <c r="B290" s="4" t="s">
        <v>1167</v>
      </c>
      <c r="C290" s="4" t="s">
        <v>554</v>
      </c>
      <c r="D290" s="4" t="s">
        <v>554</v>
      </c>
      <c r="E290" s="4" t="s">
        <v>464</v>
      </c>
      <c r="F290" s="4" t="s">
        <v>461</v>
      </c>
      <c r="G290" s="4" t="b">
        <v>0</v>
      </c>
      <c r="H290" s="4" t="s">
        <v>25</v>
      </c>
      <c r="I290" s="4" t="s">
        <v>523</v>
      </c>
      <c r="J290" s="4" t="s">
        <v>1135</v>
      </c>
      <c r="K290" s="7">
        <v>7400</v>
      </c>
      <c r="L290" s="10">
        <v>114.41</v>
      </c>
      <c r="M290" s="5" t="s">
        <v>558</v>
      </c>
      <c r="N290" s="4">
        <v>83.1</v>
      </c>
      <c r="O290" s="13">
        <v>13.1</v>
      </c>
      <c r="P290" s="13">
        <v>21</v>
      </c>
      <c r="Q290" s="4">
        <v>5703569</v>
      </c>
    </row>
    <row r="291" spans="1:17" x14ac:dyDescent="0.3">
      <c r="A291" s="4">
        <v>305</v>
      </c>
      <c r="B291" s="4" t="s">
        <v>1168</v>
      </c>
      <c r="C291" s="4" t="s">
        <v>31</v>
      </c>
      <c r="D291" s="4" t="s">
        <v>1169</v>
      </c>
      <c r="E291" s="4" t="s">
        <v>1170</v>
      </c>
      <c r="F291" s="4" t="s">
        <v>249</v>
      </c>
      <c r="G291" s="4" t="b">
        <v>1</v>
      </c>
      <c r="H291" s="4" t="s">
        <v>25</v>
      </c>
      <c r="I291" s="4" t="s">
        <v>1172</v>
      </c>
      <c r="J291" s="4" t="s">
        <v>1171</v>
      </c>
      <c r="K291" s="7">
        <v>7400</v>
      </c>
      <c r="L291" s="10">
        <v>117.24</v>
      </c>
      <c r="M291" s="5" t="s">
        <v>36</v>
      </c>
      <c r="N291" s="4">
        <v>78.5</v>
      </c>
      <c r="O291" s="13">
        <v>9.6</v>
      </c>
      <c r="P291" s="13">
        <v>36.6</v>
      </c>
      <c r="Q291" s="4">
        <v>328239523</v>
      </c>
    </row>
    <row r="292" spans="1:17" x14ac:dyDescent="0.3">
      <c r="A292" s="4">
        <v>305</v>
      </c>
      <c r="B292" s="4" t="s">
        <v>1173</v>
      </c>
      <c r="C292" s="4" t="s">
        <v>1174</v>
      </c>
      <c r="D292" s="4" t="s">
        <v>1175</v>
      </c>
      <c r="E292" s="4" t="s">
        <v>1176</v>
      </c>
      <c r="F292" s="4" t="s">
        <v>579</v>
      </c>
      <c r="G292" s="4" t="b">
        <v>0</v>
      </c>
      <c r="H292" s="4" t="s">
        <v>25</v>
      </c>
      <c r="I292" s="4" t="s">
        <v>1178</v>
      </c>
      <c r="J292" s="4" t="s">
        <v>1177</v>
      </c>
      <c r="K292" s="7">
        <v>7400</v>
      </c>
      <c r="L292" s="10">
        <v>288.57</v>
      </c>
      <c r="M292" s="5" t="s">
        <v>1179</v>
      </c>
      <c r="N292" s="4">
        <v>71.8</v>
      </c>
      <c r="O292" s="13">
        <v>12.5</v>
      </c>
      <c r="P292" s="13">
        <v>44.4</v>
      </c>
      <c r="Q292" s="4">
        <v>100388073</v>
      </c>
    </row>
    <row r="293" spans="1:17" x14ac:dyDescent="0.3">
      <c r="A293" s="4">
        <v>305</v>
      </c>
      <c r="B293" s="4" t="s">
        <v>1180</v>
      </c>
      <c r="C293" s="4" t="s">
        <v>31</v>
      </c>
      <c r="D293" s="4" t="s">
        <v>1181</v>
      </c>
      <c r="E293" s="4" t="s">
        <v>1182</v>
      </c>
      <c r="F293" s="4" t="s">
        <v>102</v>
      </c>
      <c r="G293" s="4" t="b">
        <v>1</v>
      </c>
      <c r="H293" s="4" t="s">
        <v>25</v>
      </c>
      <c r="I293" s="4" t="s">
        <v>608</v>
      </c>
      <c r="J293" s="4" t="s">
        <v>1183</v>
      </c>
      <c r="K293" s="7">
        <v>7400</v>
      </c>
      <c r="L293" s="10">
        <v>117.24</v>
      </c>
      <c r="M293" s="5" t="s">
        <v>36</v>
      </c>
      <c r="N293" s="4">
        <v>78.5</v>
      </c>
      <c r="O293" s="13">
        <v>9.6</v>
      </c>
      <c r="P293" s="13">
        <v>36.6</v>
      </c>
      <c r="Q293" s="4">
        <v>328239523</v>
      </c>
    </row>
    <row r="294" spans="1:17" x14ac:dyDescent="0.3">
      <c r="A294" s="4">
        <v>312</v>
      </c>
      <c r="B294" s="4" t="s">
        <v>1184</v>
      </c>
      <c r="C294" s="4" t="s">
        <v>73</v>
      </c>
      <c r="D294" s="4" t="s">
        <v>1185</v>
      </c>
      <c r="E294" s="4" t="s">
        <v>1186</v>
      </c>
      <c r="F294" s="4" t="s">
        <v>249</v>
      </c>
      <c r="G294" s="4" t="b">
        <v>0</v>
      </c>
      <c r="H294" s="4" t="s">
        <v>25</v>
      </c>
      <c r="I294" s="4" t="s">
        <v>1188</v>
      </c>
      <c r="J294" s="4" t="s">
        <v>1187</v>
      </c>
      <c r="K294" s="7">
        <v>7300</v>
      </c>
      <c r="L294" s="10">
        <v>180.44</v>
      </c>
      <c r="M294" s="5" t="s">
        <v>77</v>
      </c>
      <c r="N294" s="4">
        <v>69.400000000000006</v>
      </c>
      <c r="O294" s="13">
        <v>11.2</v>
      </c>
      <c r="P294" s="13">
        <v>49.7</v>
      </c>
      <c r="Q294" s="4">
        <v>1366417754</v>
      </c>
    </row>
    <row r="295" spans="1:17" x14ac:dyDescent="0.3">
      <c r="A295" s="4">
        <v>312</v>
      </c>
      <c r="B295" s="4" t="s">
        <v>1189</v>
      </c>
      <c r="C295" s="4" t="s">
        <v>326</v>
      </c>
      <c r="D295" s="4" t="s">
        <v>327</v>
      </c>
      <c r="E295" s="4" t="s">
        <v>1190</v>
      </c>
      <c r="F295" s="4" t="s">
        <v>271</v>
      </c>
      <c r="G295" s="4" t="b">
        <v>1</v>
      </c>
      <c r="H295" s="4" t="s">
        <v>25</v>
      </c>
      <c r="I295" s="4" t="s">
        <v>1192</v>
      </c>
      <c r="J295" s="4" t="s">
        <v>1191</v>
      </c>
      <c r="K295" s="7">
        <v>7300</v>
      </c>
      <c r="L295" s="10">
        <v>180.75</v>
      </c>
      <c r="M295" s="5" t="s">
        <v>331</v>
      </c>
      <c r="N295" s="4">
        <v>72.7</v>
      </c>
      <c r="O295" s="13">
        <v>11.4</v>
      </c>
      <c r="P295" s="13">
        <v>46.2</v>
      </c>
      <c r="Q295" s="4">
        <v>144373535</v>
      </c>
    </row>
    <row r="296" spans="1:17" x14ac:dyDescent="0.3">
      <c r="A296" s="4">
        <v>312</v>
      </c>
      <c r="B296" s="4" t="s">
        <v>1193</v>
      </c>
      <c r="C296" s="4" t="s">
        <v>1194</v>
      </c>
      <c r="D296" s="4" t="s">
        <v>1195</v>
      </c>
      <c r="E296" s="4" t="s">
        <v>220</v>
      </c>
      <c r="F296" s="4" t="s">
        <v>20</v>
      </c>
      <c r="G296" s="4" t="b">
        <v>0</v>
      </c>
      <c r="H296" s="4" t="s">
        <v>25</v>
      </c>
      <c r="I296" s="4" t="s">
        <v>1197</v>
      </c>
      <c r="J296" s="4" t="s">
        <v>1196</v>
      </c>
      <c r="K296" s="7">
        <v>7300</v>
      </c>
      <c r="L296" s="10">
        <v>110.35</v>
      </c>
      <c r="M296" s="5" t="s">
        <v>1198</v>
      </c>
      <c r="N296" s="4">
        <v>81</v>
      </c>
      <c r="O296" s="13">
        <v>32.4</v>
      </c>
      <c r="P296" s="13">
        <v>23.8</v>
      </c>
      <c r="Q296" s="4">
        <v>5818553</v>
      </c>
    </row>
    <row r="297" spans="1:17" x14ac:dyDescent="0.3">
      <c r="A297" s="4">
        <v>312</v>
      </c>
      <c r="B297" s="4" t="s">
        <v>1199</v>
      </c>
      <c r="C297" s="4" t="s">
        <v>966</v>
      </c>
      <c r="D297" s="4" t="s">
        <v>967</v>
      </c>
      <c r="E297" s="4" t="s">
        <v>1200</v>
      </c>
      <c r="F297" s="4" t="s">
        <v>167</v>
      </c>
      <c r="G297" s="4" t="b">
        <v>0</v>
      </c>
      <c r="H297" s="4" t="s">
        <v>25</v>
      </c>
      <c r="I297" s="4" t="s">
        <v>1202</v>
      </c>
      <c r="J297" s="4" t="s">
        <v>1201</v>
      </c>
      <c r="K297" s="7">
        <v>7300</v>
      </c>
      <c r="L297" s="10">
        <v>129.61000000000001</v>
      </c>
      <c r="M297" s="5" t="s">
        <v>970</v>
      </c>
      <c r="N297" s="4">
        <v>71.099999999999994</v>
      </c>
      <c r="O297" s="13">
        <v>14</v>
      </c>
      <c r="P297" s="13">
        <v>43.1</v>
      </c>
      <c r="Q297" s="4">
        <v>108116615</v>
      </c>
    </row>
    <row r="298" spans="1:17" x14ac:dyDescent="0.3">
      <c r="A298" s="4">
        <v>312</v>
      </c>
      <c r="B298" s="4" t="s">
        <v>1203</v>
      </c>
      <c r="C298" s="4" t="s">
        <v>104</v>
      </c>
      <c r="D298" s="4" t="s">
        <v>191</v>
      </c>
      <c r="E298" s="4" t="s">
        <v>1204</v>
      </c>
      <c r="F298" s="4" t="s">
        <v>37</v>
      </c>
      <c r="G298" s="4" t="b">
        <v>1</v>
      </c>
      <c r="H298" s="4" t="s">
        <v>84</v>
      </c>
      <c r="I298" s="4" t="s">
        <v>1205</v>
      </c>
      <c r="J298" s="4" t="s">
        <v>383</v>
      </c>
      <c r="K298" s="7">
        <v>7300</v>
      </c>
      <c r="L298" s="10">
        <v>125.08</v>
      </c>
      <c r="M298" s="5" t="s">
        <v>109</v>
      </c>
      <c r="N298" s="4">
        <v>77</v>
      </c>
      <c r="O298" s="13">
        <v>9.4</v>
      </c>
      <c r="P298" s="13">
        <v>59.2</v>
      </c>
      <c r="Q298" s="4">
        <v>1397715000</v>
      </c>
    </row>
    <row r="299" spans="1:17" x14ac:dyDescent="0.3">
      <c r="A299" s="4">
        <v>317</v>
      </c>
      <c r="B299" s="4" t="s">
        <v>1206</v>
      </c>
      <c r="C299" s="4" t="s">
        <v>31</v>
      </c>
      <c r="D299" s="4" t="s">
        <v>1207</v>
      </c>
      <c r="E299" s="4" t="s">
        <v>257</v>
      </c>
      <c r="F299" s="4" t="s">
        <v>48</v>
      </c>
      <c r="G299" s="4" t="b">
        <v>1</v>
      </c>
      <c r="H299" s="4" t="s">
        <v>25</v>
      </c>
      <c r="I299" s="4" t="s">
        <v>1144</v>
      </c>
      <c r="J299" s="4" t="s">
        <v>1208</v>
      </c>
      <c r="K299" s="7">
        <v>7200</v>
      </c>
      <c r="L299" s="10">
        <v>117.24</v>
      </c>
      <c r="M299" s="5" t="s">
        <v>36</v>
      </c>
      <c r="N299" s="4">
        <v>78.5</v>
      </c>
      <c r="O299" s="13">
        <v>9.6</v>
      </c>
      <c r="P299" s="13">
        <v>36.6</v>
      </c>
      <c r="Q299" s="4">
        <v>328239523</v>
      </c>
    </row>
    <row r="300" spans="1:17" x14ac:dyDescent="0.3">
      <c r="A300" s="4">
        <v>317</v>
      </c>
      <c r="B300" s="4" t="s">
        <v>1209</v>
      </c>
      <c r="C300" s="4" t="s">
        <v>31</v>
      </c>
      <c r="D300" s="4" t="s">
        <v>300</v>
      </c>
      <c r="E300" s="4" t="s">
        <v>1210</v>
      </c>
      <c r="F300" s="4" t="s">
        <v>461</v>
      </c>
      <c r="G300" s="4" t="b">
        <v>1</v>
      </c>
      <c r="H300" s="4" t="s">
        <v>25</v>
      </c>
      <c r="I300" s="4" t="s">
        <v>42</v>
      </c>
      <c r="J300" s="4" t="s">
        <v>1211</v>
      </c>
      <c r="K300" s="7">
        <v>7200</v>
      </c>
      <c r="L300" s="10">
        <v>117.24</v>
      </c>
      <c r="M300" s="5" t="s">
        <v>36</v>
      </c>
      <c r="N300" s="4">
        <v>78.5</v>
      </c>
      <c r="O300" s="13">
        <v>9.6</v>
      </c>
      <c r="P300" s="13">
        <v>36.6</v>
      </c>
      <c r="Q300" s="4">
        <v>328239523</v>
      </c>
    </row>
    <row r="301" spans="1:17" x14ac:dyDescent="0.3">
      <c r="A301" s="4">
        <v>317</v>
      </c>
      <c r="B301" s="4" t="s">
        <v>1212</v>
      </c>
      <c r="C301" s="4" t="s">
        <v>31</v>
      </c>
      <c r="D301" s="4" t="s">
        <v>1213</v>
      </c>
      <c r="E301" s="4" t="s">
        <v>1214</v>
      </c>
      <c r="F301" s="4" t="s">
        <v>48</v>
      </c>
      <c r="G301" s="4" t="b">
        <v>1</v>
      </c>
      <c r="H301" s="4" t="s">
        <v>25</v>
      </c>
      <c r="I301" s="4" t="s">
        <v>1216</v>
      </c>
      <c r="J301" s="4" t="s">
        <v>1215</v>
      </c>
      <c r="K301" s="7">
        <v>7200</v>
      </c>
      <c r="L301" s="10">
        <v>117.24</v>
      </c>
      <c r="M301" s="5" t="s">
        <v>36</v>
      </c>
      <c r="N301" s="4">
        <v>78.5</v>
      </c>
      <c r="O301" s="13">
        <v>9.6</v>
      </c>
      <c r="P301" s="13">
        <v>36.6</v>
      </c>
      <c r="Q301" s="4">
        <v>328239523</v>
      </c>
    </row>
    <row r="302" spans="1:17" x14ac:dyDescent="0.3">
      <c r="A302" s="4">
        <v>317</v>
      </c>
      <c r="B302" s="4" t="s">
        <v>1217</v>
      </c>
      <c r="C302" s="4" t="s">
        <v>31</v>
      </c>
      <c r="D302" s="4" t="s">
        <v>741</v>
      </c>
      <c r="E302" s="4" t="s">
        <v>1218</v>
      </c>
      <c r="F302" s="4" t="s">
        <v>291</v>
      </c>
      <c r="G302" s="4" t="b">
        <v>1</v>
      </c>
      <c r="H302" s="4" t="s">
        <v>25</v>
      </c>
      <c r="I302" s="4" t="s">
        <v>924</v>
      </c>
      <c r="J302" s="4" t="s">
        <v>1219</v>
      </c>
      <c r="K302" s="7">
        <v>7200</v>
      </c>
      <c r="L302" s="10">
        <v>117.24</v>
      </c>
      <c r="M302" s="5" t="s">
        <v>36</v>
      </c>
      <c r="N302" s="4">
        <v>78.5</v>
      </c>
      <c r="O302" s="13">
        <v>9.6</v>
      </c>
      <c r="P302" s="13">
        <v>36.6</v>
      </c>
      <c r="Q302" s="4">
        <v>328239523</v>
      </c>
    </row>
    <row r="303" spans="1:17" x14ac:dyDescent="0.3">
      <c r="A303" s="4">
        <v>317</v>
      </c>
      <c r="B303" s="4" t="s">
        <v>1220</v>
      </c>
      <c r="C303" s="4" t="s">
        <v>305</v>
      </c>
      <c r="D303" s="4" t="s">
        <v>644</v>
      </c>
      <c r="E303" s="4" t="s">
        <v>1221</v>
      </c>
      <c r="F303" s="4" t="s">
        <v>48</v>
      </c>
      <c r="G303" s="4" t="b">
        <v>1</v>
      </c>
      <c r="H303" s="4" t="s">
        <v>25</v>
      </c>
      <c r="I303" s="4" t="s">
        <v>1223</v>
      </c>
      <c r="J303" s="4" t="s">
        <v>1222</v>
      </c>
      <c r="K303" s="7">
        <v>7200</v>
      </c>
      <c r="L303" s="10">
        <v>114.52</v>
      </c>
      <c r="M303" s="5" t="s">
        <v>310</v>
      </c>
      <c r="N303" s="4">
        <v>77.8</v>
      </c>
      <c r="O303" s="13">
        <v>0.1</v>
      </c>
      <c r="P303" s="13">
        <v>15.9</v>
      </c>
      <c r="Q303" s="4">
        <v>9770529</v>
      </c>
    </row>
    <row r="304" spans="1:17" x14ac:dyDescent="0.3">
      <c r="A304" s="4">
        <v>317</v>
      </c>
      <c r="B304" s="4" t="s">
        <v>1224</v>
      </c>
      <c r="C304" s="4" t="s">
        <v>218</v>
      </c>
      <c r="D304" s="4" t="s">
        <v>219</v>
      </c>
      <c r="E304" s="4" t="s">
        <v>1225</v>
      </c>
      <c r="F304" s="4" t="s">
        <v>20</v>
      </c>
      <c r="G304" s="4" t="b">
        <v>0</v>
      </c>
      <c r="H304" s="4" t="s">
        <v>25</v>
      </c>
      <c r="I304" s="4" t="s">
        <v>1227</v>
      </c>
      <c r="J304" s="4" t="s">
        <v>1226</v>
      </c>
      <c r="K304" s="7">
        <v>7200</v>
      </c>
      <c r="L304" s="10">
        <v>105.48</v>
      </c>
      <c r="M304" s="5" t="s">
        <v>223</v>
      </c>
      <c r="N304" s="4">
        <v>84.2</v>
      </c>
      <c r="O304" s="13">
        <v>11.9</v>
      </c>
      <c r="P304" s="13">
        <v>46.7</v>
      </c>
      <c r="Q304" s="4">
        <v>126226568</v>
      </c>
    </row>
    <row r="305" spans="1:17" x14ac:dyDescent="0.3">
      <c r="A305" s="4">
        <v>317</v>
      </c>
      <c r="B305" s="4" t="s">
        <v>1228</v>
      </c>
      <c r="C305" s="4" t="s">
        <v>104</v>
      </c>
      <c r="D305" s="4" t="s">
        <v>105</v>
      </c>
      <c r="E305" s="4" t="s">
        <v>1229</v>
      </c>
      <c r="F305" s="4" t="s">
        <v>102</v>
      </c>
      <c r="G305" s="4" t="b">
        <v>1</v>
      </c>
      <c r="H305" s="4" t="s">
        <v>25</v>
      </c>
      <c r="I305" s="4" t="s">
        <v>1231</v>
      </c>
      <c r="J305" s="4" t="s">
        <v>1230</v>
      </c>
      <c r="K305" s="7">
        <v>7200</v>
      </c>
      <c r="L305" s="10">
        <v>125.08</v>
      </c>
      <c r="M305" s="5" t="s">
        <v>109</v>
      </c>
      <c r="N305" s="4">
        <v>77</v>
      </c>
      <c r="O305" s="13">
        <v>9.4</v>
      </c>
      <c r="P305" s="13">
        <v>59.2</v>
      </c>
      <c r="Q305" s="4">
        <v>1397715000</v>
      </c>
    </row>
    <row r="306" spans="1:17" x14ac:dyDescent="0.3">
      <c r="A306" s="4">
        <v>325</v>
      </c>
      <c r="B306" s="4" t="s">
        <v>1232</v>
      </c>
      <c r="C306" s="4" t="s">
        <v>31</v>
      </c>
      <c r="D306" s="4" t="s">
        <v>1233</v>
      </c>
      <c r="E306" s="4" t="s">
        <v>1234</v>
      </c>
      <c r="F306" s="4" t="s">
        <v>37</v>
      </c>
      <c r="G306" s="4" t="b">
        <v>1</v>
      </c>
      <c r="H306" s="4" t="s">
        <v>84</v>
      </c>
      <c r="I306" s="4" t="s">
        <v>699</v>
      </c>
      <c r="J306" s="4" t="s">
        <v>1235</v>
      </c>
      <c r="K306" s="7">
        <v>7100</v>
      </c>
      <c r="L306" s="10">
        <v>117.24</v>
      </c>
      <c r="M306" s="5" t="s">
        <v>36</v>
      </c>
      <c r="N306" s="4">
        <v>78.5</v>
      </c>
      <c r="O306" s="13">
        <v>9.6</v>
      </c>
      <c r="P306" s="13">
        <v>36.6</v>
      </c>
      <c r="Q306" s="4">
        <v>328239523</v>
      </c>
    </row>
    <row r="307" spans="1:17" x14ac:dyDescent="0.3">
      <c r="A307" s="4">
        <v>325</v>
      </c>
      <c r="B307" s="4" t="s">
        <v>1236</v>
      </c>
      <c r="C307" s="4" t="s">
        <v>207</v>
      </c>
      <c r="D307" s="4" t="s">
        <v>1080</v>
      </c>
      <c r="E307" s="4" t="s">
        <v>1237</v>
      </c>
      <c r="F307" s="4" t="s">
        <v>195</v>
      </c>
      <c r="G307" s="4" t="b">
        <v>1</v>
      </c>
      <c r="H307" s="4" t="s">
        <v>25</v>
      </c>
      <c r="I307" s="4" t="s">
        <v>687</v>
      </c>
      <c r="J307" s="4" t="s">
        <v>1238</v>
      </c>
      <c r="K307" s="7">
        <v>7100</v>
      </c>
      <c r="L307" s="10">
        <v>118.06</v>
      </c>
      <c r="M307" s="5" t="s">
        <v>211</v>
      </c>
      <c r="N307" s="4">
        <v>81.599999999999994</v>
      </c>
      <c r="O307" s="13">
        <v>25.4</v>
      </c>
      <c r="P307" s="13">
        <v>51.4</v>
      </c>
      <c r="Q307" s="4">
        <v>8877067</v>
      </c>
    </row>
    <row r="308" spans="1:17" x14ac:dyDescent="0.3">
      <c r="A308" s="4">
        <v>325</v>
      </c>
      <c r="B308" s="4" t="s">
        <v>1239</v>
      </c>
      <c r="C308" s="4" t="s">
        <v>31</v>
      </c>
      <c r="D308" s="4" t="s">
        <v>1240</v>
      </c>
      <c r="E308" s="4" t="s">
        <v>1241</v>
      </c>
      <c r="F308" s="4" t="s">
        <v>380</v>
      </c>
      <c r="G308" s="4" t="b">
        <v>0</v>
      </c>
      <c r="H308" s="4" t="s">
        <v>84</v>
      </c>
      <c r="I308" s="4" t="s">
        <v>1243</v>
      </c>
      <c r="J308" s="4" t="s">
        <v>1242</v>
      </c>
      <c r="K308" s="7">
        <v>7100</v>
      </c>
      <c r="L308" s="10">
        <v>117.24</v>
      </c>
      <c r="M308" s="5" t="s">
        <v>36</v>
      </c>
      <c r="N308" s="4">
        <v>78.5</v>
      </c>
      <c r="O308" s="13">
        <v>9.6</v>
      </c>
      <c r="P308" s="13">
        <v>36.6</v>
      </c>
      <c r="Q308" s="4">
        <v>328239523</v>
      </c>
    </row>
    <row r="309" spans="1:17" x14ac:dyDescent="0.3">
      <c r="A309" s="4">
        <v>325</v>
      </c>
      <c r="B309" s="4" t="s">
        <v>1244</v>
      </c>
      <c r="C309" s="4" t="s">
        <v>104</v>
      </c>
      <c r="D309" s="4" t="s">
        <v>574</v>
      </c>
      <c r="E309" s="4" t="s">
        <v>1245</v>
      </c>
      <c r="F309" s="4" t="s">
        <v>249</v>
      </c>
      <c r="G309" s="4" t="b">
        <v>1</v>
      </c>
      <c r="H309" s="4" t="s">
        <v>25</v>
      </c>
      <c r="I309" s="4" t="s">
        <v>1247</v>
      </c>
      <c r="J309" s="4" t="s">
        <v>1246</v>
      </c>
      <c r="K309" s="7">
        <v>7100</v>
      </c>
      <c r="L309" s="10">
        <v>125.08</v>
      </c>
      <c r="M309" s="5" t="s">
        <v>109</v>
      </c>
      <c r="N309" s="4">
        <v>77</v>
      </c>
      <c r="O309" s="13">
        <v>9.4</v>
      </c>
      <c r="P309" s="13">
        <v>59.2</v>
      </c>
      <c r="Q309" s="4">
        <v>1397715000</v>
      </c>
    </row>
    <row r="310" spans="1:17" x14ac:dyDescent="0.3">
      <c r="A310" s="4">
        <v>325</v>
      </c>
      <c r="B310" s="4" t="s">
        <v>1248</v>
      </c>
      <c r="C310" s="4" t="s">
        <v>169</v>
      </c>
      <c r="D310" s="4" t="s">
        <v>1249</v>
      </c>
      <c r="E310" s="4" t="s">
        <v>1250</v>
      </c>
      <c r="F310" s="4" t="s">
        <v>350</v>
      </c>
      <c r="G310" s="4" t="b">
        <v>0</v>
      </c>
      <c r="H310" s="4" t="s">
        <v>25</v>
      </c>
      <c r="I310" s="4" t="s">
        <v>1252</v>
      </c>
      <c r="J310" s="4" t="s">
        <v>1251</v>
      </c>
      <c r="K310" s="7">
        <v>7100</v>
      </c>
      <c r="L310" s="10">
        <v>99.55</v>
      </c>
      <c r="M310" s="5" t="s">
        <v>174</v>
      </c>
      <c r="N310" s="4">
        <v>83.6</v>
      </c>
      <c r="O310" s="13">
        <v>10.1</v>
      </c>
      <c r="P310" s="13">
        <v>28.8</v>
      </c>
      <c r="Q310" s="4">
        <v>8574832</v>
      </c>
    </row>
    <row r="311" spans="1:17" x14ac:dyDescent="0.3">
      <c r="A311" s="4">
        <v>325</v>
      </c>
      <c r="B311" s="4" t="s">
        <v>1253</v>
      </c>
      <c r="C311" s="4" t="s">
        <v>554</v>
      </c>
      <c r="D311" s="4" t="s">
        <v>554</v>
      </c>
      <c r="E311" s="4" t="s">
        <v>477</v>
      </c>
      <c r="F311" s="4" t="s">
        <v>48</v>
      </c>
      <c r="G311" s="4" t="b">
        <v>0</v>
      </c>
      <c r="H311" s="4" t="s">
        <v>25</v>
      </c>
      <c r="I311" s="4" t="s">
        <v>1255</v>
      </c>
      <c r="J311" s="4" t="s">
        <v>1254</v>
      </c>
      <c r="K311" s="7">
        <v>7100</v>
      </c>
      <c r="L311" s="10">
        <v>114.41</v>
      </c>
      <c r="M311" s="5" t="s">
        <v>558</v>
      </c>
      <c r="N311" s="4">
        <v>83.1</v>
      </c>
      <c r="O311" s="13">
        <v>13.1</v>
      </c>
      <c r="P311" s="13">
        <v>21</v>
      </c>
      <c r="Q311" s="4">
        <v>5703569</v>
      </c>
    </row>
    <row r="312" spans="1:17" x14ac:dyDescent="0.3">
      <c r="A312" s="4">
        <v>325</v>
      </c>
      <c r="B312" s="4" t="s">
        <v>1256</v>
      </c>
      <c r="C312" s="4" t="s">
        <v>104</v>
      </c>
      <c r="D312" s="4" t="s">
        <v>826</v>
      </c>
      <c r="E312" s="4" t="s">
        <v>1257</v>
      </c>
      <c r="F312" s="4" t="s">
        <v>249</v>
      </c>
      <c r="G312" s="4" t="b">
        <v>1</v>
      </c>
      <c r="H312" s="4" t="s">
        <v>25</v>
      </c>
      <c r="I312" s="4" t="s">
        <v>1258</v>
      </c>
      <c r="J312" s="4" t="s">
        <v>154</v>
      </c>
      <c r="K312" s="7">
        <v>7100</v>
      </c>
      <c r="L312" s="10">
        <v>125.08</v>
      </c>
      <c r="M312" s="5" t="s">
        <v>109</v>
      </c>
      <c r="N312" s="4">
        <v>77</v>
      </c>
      <c r="O312" s="13">
        <v>9.4</v>
      </c>
      <c r="P312" s="13">
        <v>59.2</v>
      </c>
      <c r="Q312" s="4">
        <v>1397715000</v>
      </c>
    </row>
    <row r="313" spans="1:17" x14ac:dyDescent="0.3">
      <c r="A313" s="4">
        <v>332</v>
      </c>
      <c r="B313" s="4" t="s">
        <v>1259</v>
      </c>
      <c r="C313" s="4" t="s">
        <v>31</v>
      </c>
      <c r="D313" s="4" t="s">
        <v>855</v>
      </c>
      <c r="E313" s="4" t="s">
        <v>738</v>
      </c>
      <c r="F313" s="4" t="s">
        <v>37</v>
      </c>
      <c r="G313" s="4" t="b">
        <v>1</v>
      </c>
      <c r="H313" s="4" t="s">
        <v>25</v>
      </c>
      <c r="I313" s="4" t="s">
        <v>1261</v>
      </c>
      <c r="J313" s="4" t="s">
        <v>1260</v>
      </c>
      <c r="K313" s="7">
        <v>7000</v>
      </c>
      <c r="L313" s="10">
        <v>117.24</v>
      </c>
      <c r="M313" s="5" t="s">
        <v>36</v>
      </c>
      <c r="N313" s="4">
        <v>78.5</v>
      </c>
      <c r="O313" s="13">
        <v>9.6</v>
      </c>
      <c r="P313" s="13">
        <v>36.6</v>
      </c>
      <c r="Q313" s="4">
        <v>328239523</v>
      </c>
    </row>
    <row r="314" spans="1:17" x14ac:dyDescent="0.3">
      <c r="A314" s="4">
        <v>332</v>
      </c>
      <c r="B314" s="4" t="s">
        <v>1262</v>
      </c>
      <c r="C314" s="4" t="s">
        <v>225</v>
      </c>
      <c r="D314" s="4" t="s">
        <v>226</v>
      </c>
      <c r="E314" s="4" t="s">
        <v>280</v>
      </c>
      <c r="F314" s="4" t="s">
        <v>58</v>
      </c>
      <c r="G314" s="4" t="b">
        <v>1</v>
      </c>
      <c r="H314" s="4" t="s">
        <v>25</v>
      </c>
      <c r="I314" s="4" t="s">
        <v>1264</v>
      </c>
      <c r="J314" s="4" t="s">
        <v>1263</v>
      </c>
      <c r="K314" s="7">
        <v>7000</v>
      </c>
      <c r="L314" s="10">
        <v>119.62</v>
      </c>
      <c r="M314" s="5" t="s">
        <v>230</v>
      </c>
      <c r="N314" s="4">
        <v>81.3</v>
      </c>
      <c r="O314" s="13">
        <v>25.5</v>
      </c>
      <c r="P314" s="13">
        <v>30.6</v>
      </c>
      <c r="Q314" s="4">
        <v>66834405</v>
      </c>
    </row>
    <row r="315" spans="1:17" x14ac:dyDescent="0.3">
      <c r="A315" s="4">
        <v>332</v>
      </c>
      <c r="B315" s="4" t="s">
        <v>1265</v>
      </c>
      <c r="C315" s="4" t="s">
        <v>225</v>
      </c>
      <c r="D315" s="4" t="s">
        <v>226</v>
      </c>
      <c r="E315" s="4" t="s">
        <v>280</v>
      </c>
      <c r="F315" s="4" t="s">
        <v>58</v>
      </c>
      <c r="G315" s="4" t="b">
        <v>1</v>
      </c>
      <c r="H315" s="4" t="s">
        <v>25</v>
      </c>
      <c r="I315" s="4" t="s">
        <v>1266</v>
      </c>
      <c r="J315" s="4" t="s">
        <v>1263</v>
      </c>
      <c r="K315" s="7">
        <v>7000</v>
      </c>
      <c r="L315" s="10">
        <v>119.62</v>
      </c>
      <c r="M315" s="5" t="s">
        <v>230</v>
      </c>
      <c r="N315" s="4">
        <v>81.3</v>
      </c>
      <c r="O315" s="13">
        <v>25.5</v>
      </c>
      <c r="P315" s="13">
        <v>30.6</v>
      </c>
      <c r="Q315" s="4">
        <v>66834405</v>
      </c>
    </row>
    <row r="316" spans="1:17" x14ac:dyDescent="0.3">
      <c r="A316" s="4">
        <v>332</v>
      </c>
      <c r="B316" s="4" t="s">
        <v>1267</v>
      </c>
      <c r="C316" s="4" t="s">
        <v>31</v>
      </c>
      <c r="D316" s="4" t="s">
        <v>1268</v>
      </c>
      <c r="E316" s="4" t="s">
        <v>1269</v>
      </c>
      <c r="F316" s="4" t="s">
        <v>37</v>
      </c>
      <c r="G316" s="4" t="b">
        <v>1</v>
      </c>
      <c r="H316" s="4" t="s">
        <v>25</v>
      </c>
      <c r="I316" s="4" t="s">
        <v>333</v>
      </c>
      <c r="J316" s="4" t="s">
        <v>1270</v>
      </c>
      <c r="K316" s="7">
        <v>7000</v>
      </c>
      <c r="L316" s="10">
        <v>117.24</v>
      </c>
      <c r="M316" s="5" t="s">
        <v>36</v>
      </c>
      <c r="N316" s="4">
        <v>78.5</v>
      </c>
      <c r="O316" s="13">
        <v>9.6</v>
      </c>
      <c r="P316" s="13">
        <v>36.6</v>
      </c>
      <c r="Q316" s="4">
        <v>328239523</v>
      </c>
    </row>
    <row r="317" spans="1:17" x14ac:dyDescent="0.3">
      <c r="A317" s="4">
        <v>332</v>
      </c>
      <c r="B317" s="4" t="s">
        <v>1271</v>
      </c>
      <c r="C317" s="4" t="s">
        <v>73</v>
      </c>
      <c r="D317" s="4" t="s">
        <v>74</v>
      </c>
      <c r="E317" s="4" t="s">
        <v>555</v>
      </c>
      <c r="F317" s="4" t="s">
        <v>249</v>
      </c>
      <c r="G317" s="4" t="b">
        <v>0</v>
      </c>
      <c r="H317" s="4" t="s">
        <v>25</v>
      </c>
      <c r="I317" s="4" t="s">
        <v>1273</v>
      </c>
      <c r="J317" s="4" t="s">
        <v>1272</v>
      </c>
      <c r="K317" s="7">
        <v>7000</v>
      </c>
      <c r="L317" s="10">
        <v>180.44</v>
      </c>
      <c r="M317" s="5" t="s">
        <v>77</v>
      </c>
      <c r="N317" s="4">
        <v>69.400000000000006</v>
      </c>
      <c r="O317" s="13">
        <v>11.2</v>
      </c>
      <c r="P317" s="13">
        <v>49.7</v>
      </c>
      <c r="Q317" s="4">
        <v>1366417754</v>
      </c>
    </row>
    <row r="318" spans="1:17" x14ac:dyDescent="0.3">
      <c r="A318" s="4">
        <v>332</v>
      </c>
      <c r="B318" s="4" t="s">
        <v>1274</v>
      </c>
      <c r="C318" s="4" t="s">
        <v>31</v>
      </c>
      <c r="D318" s="4" t="s">
        <v>60</v>
      </c>
      <c r="E318" s="4" t="s">
        <v>1275</v>
      </c>
      <c r="F318" s="4" t="s">
        <v>20</v>
      </c>
      <c r="G318" s="4" t="b">
        <v>1</v>
      </c>
      <c r="H318" s="4" t="s">
        <v>25</v>
      </c>
      <c r="I318" s="4" t="s">
        <v>1277</v>
      </c>
      <c r="J318" s="4" t="s">
        <v>1276</v>
      </c>
      <c r="K318" s="7">
        <v>7000</v>
      </c>
      <c r="L318" s="10">
        <v>117.24</v>
      </c>
      <c r="M318" s="5" t="s">
        <v>36</v>
      </c>
      <c r="N318" s="4">
        <v>78.5</v>
      </c>
      <c r="O318" s="13">
        <v>9.6</v>
      </c>
      <c r="P318" s="13">
        <v>36.6</v>
      </c>
      <c r="Q318" s="4">
        <v>328239523</v>
      </c>
    </row>
    <row r="319" spans="1:17" x14ac:dyDescent="0.3">
      <c r="A319" s="4">
        <v>332</v>
      </c>
      <c r="B319" s="4" t="s">
        <v>1278</v>
      </c>
      <c r="C319" s="4" t="s">
        <v>73</v>
      </c>
      <c r="D319" s="4" t="s">
        <v>74</v>
      </c>
      <c r="E319" s="4" t="s">
        <v>71</v>
      </c>
      <c r="F319" s="4" t="s">
        <v>71</v>
      </c>
      <c r="G319" s="4" t="b">
        <v>0</v>
      </c>
      <c r="H319" s="4" t="s">
        <v>84</v>
      </c>
      <c r="I319" s="4" t="s">
        <v>1280</v>
      </c>
      <c r="J319" s="4" t="s">
        <v>1279</v>
      </c>
      <c r="K319" s="7">
        <v>7000</v>
      </c>
      <c r="L319" s="10">
        <v>180.44</v>
      </c>
      <c r="M319" s="5" t="s">
        <v>77</v>
      </c>
      <c r="N319" s="4">
        <v>69.400000000000006</v>
      </c>
      <c r="O319" s="13">
        <v>11.2</v>
      </c>
      <c r="P319" s="13">
        <v>49.7</v>
      </c>
      <c r="Q319" s="4">
        <v>1366417754</v>
      </c>
    </row>
    <row r="320" spans="1:17" x14ac:dyDescent="0.3">
      <c r="A320" s="4">
        <v>332</v>
      </c>
      <c r="B320" s="4" t="s">
        <v>1281</v>
      </c>
      <c r="C320" s="4" t="s">
        <v>73</v>
      </c>
      <c r="D320" s="4" t="s">
        <v>74</v>
      </c>
      <c r="E320" s="4" t="s">
        <v>71</v>
      </c>
      <c r="F320" s="4" t="s">
        <v>71</v>
      </c>
      <c r="G320" s="4" t="b">
        <v>0</v>
      </c>
      <c r="H320" s="4" t="s">
        <v>25</v>
      </c>
      <c r="I320" s="4" t="s">
        <v>1282</v>
      </c>
      <c r="J320" s="4" t="s">
        <v>1279</v>
      </c>
      <c r="K320" s="7">
        <v>7000</v>
      </c>
      <c r="L320" s="10">
        <v>180.44</v>
      </c>
      <c r="M320" s="5" t="s">
        <v>77</v>
      </c>
      <c r="N320" s="4">
        <v>69.400000000000006</v>
      </c>
      <c r="O320" s="13">
        <v>11.2</v>
      </c>
      <c r="P320" s="13">
        <v>49.7</v>
      </c>
      <c r="Q320" s="4">
        <v>1366417754</v>
      </c>
    </row>
    <row r="321" spans="1:17" x14ac:dyDescent="0.3">
      <c r="A321" s="4">
        <v>332</v>
      </c>
      <c r="B321" s="4" t="s">
        <v>1283</v>
      </c>
      <c r="C321" s="4" t="s">
        <v>31</v>
      </c>
      <c r="D321" s="4" t="s">
        <v>1284</v>
      </c>
      <c r="E321" s="4" t="s">
        <v>1285</v>
      </c>
      <c r="F321" s="4" t="s">
        <v>102</v>
      </c>
      <c r="G321" s="4" t="b">
        <v>1</v>
      </c>
      <c r="H321" s="4" t="s">
        <v>25</v>
      </c>
      <c r="I321" s="4" t="s">
        <v>1287</v>
      </c>
      <c r="J321" s="4" t="s">
        <v>1286</v>
      </c>
      <c r="K321" s="7">
        <v>7000</v>
      </c>
      <c r="L321" s="10">
        <v>117.24</v>
      </c>
      <c r="M321" s="5" t="s">
        <v>36</v>
      </c>
      <c r="N321" s="4">
        <v>78.5</v>
      </c>
      <c r="O321" s="13">
        <v>9.6</v>
      </c>
      <c r="P321" s="13">
        <v>36.6</v>
      </c>
      <c r="Q321" s="4">
        <v>328239523</v>
      </c>
    </row>
    <row r="322" spans="1:17" x14ac:dyDescent="0.3">
      <c r="A322" s="4">
        <v>332</v>
      </c>
      <c r="B322" s="4" t="s">
        <v>1288</v>
      </c>
      <c r="C322" s="4" t="s">
        <v>31</v>
      </c>
      <c r="D322" s="4" t="s">
        <v>300</v>
      </c>
      <c r="E322" s="4" t="s">
        <v>1285</v>
      </c>
      <c r="F322" s="4" t="s">
        <v>102</v>
      </c>
      <c r="G322" s="4" t="b">
        <v>1</v>
      </c>
      <c r="H322" s="4" t="s">
        <v>25</v>
      </c>
      <c r="I322" s="4" t="s">
        <v>1289</v>
      </c>
      <c r="J322" s="4" t="s">
        <v>1286</v>
      </c>
      <c r="K322" s="7">
        <v>7000</v>
      </c>
      <c r="L322" s="10">
        <v>117.24</v>
      </c>
      <c r="M322" s="5" t="s">
        <v>36</v>
      </c>
      <c r="N322" s="4">
        <v>78.5</v>
      </c>
      <c r="O322" s="13">
        <v>9.6</v>
      </c>
      <c r="P322" s="13">
        <v>36.6</v>
      </c>
      <c r="Q322" s="4">
        <v>328239523</v>
      </c>
    </row>
    <row r="323" spans="1:17" x14ac:dyDescent="0.3">
      <c r="A323" s="4">
        <v>332</v>
      </c>
      <c r="B323" s="4" t="s">
        <v>1290</v>
      </c>
      <c r="C323" s="4" t="s">
        <v>31</v>
      </c>
      <c r="D323" s="4" t="s">
        <v>1291</v>
      </c>
      <c r="E323" s="4" t="s">
        <v>1229</v>
      </c>
      <c r="F323" s="4" t="s">
        <v>102</v>
      </c>
      <c r="G323" s="4" t="b">
        <v>1</v>
      </c>
      <c r="H323" s="4" t="s">
        <v>25</v>
      </c>
      <c r="I323" s="4" t="s">
        <v>1216</v>
      </c>
      <c r="J323" s="4" t="s">
        <v>1292</v>
      </c>
      <c r="K323" s="7">
        <v>7000</v>
      </c>
      <c r="L323" s="10">
        <v>117.24</v>
      </c>
      <c r="M323" s="5" t="s">
        <v>36</v>
      </c>
      <c r="N323" s="4">
        <v>78.5</v>
      </c>
      <c r="O323" s="13">
        <v>9.6</v>
      </c>
      <c r="P323" s="13">
        <v>36.6</v>
      </c>
      <c r="Q323" s="4">
        <v>328239523</v>
      </c>
    </row>
    <row r="324" spans="1:17" x14ac:dyDescent="0.3">
      <c r="A324" s="4">
        <v>344</v>
      </c>
      <c r="B324" s="4" t="s">
        <v>1293</v>
      </c>
      <c r="C324" s="4" t="s">
        <v>31</v>
      </c>
      <c r="D324" s="4" t="s">
        <v>830</v>
      </c>
      <c r="E324" s="4" t="s">
        <v>1294</v>
      </c>
      <c r="F324" s="4" t="s">
        <v>71</v>
      </c>
      <c r="G324" s="4" t="b">
        <v>0</v>
      </c>
      <c r="H324" s="4" t="s">
        <v>84</v>
      </c>
      <c r="I324" s="4" t="s">
        <v>1296</v>
      </c>
      <c r="J324" s="4" t="s">
        <v>1295</v>
      </c>
      <c r="K324" s="7">
        <v>6900</v>
      </c>
      <c r="L324" s="10">
        <v>117.24</v>
      </c>
      <c r="M324" s="5" t="s">
        <v>36</v>
      </c>
      <c r="N324" s="4">
        <v>78.5</v>
      </c>
      <c r="O324" s="13">
        <v>9.6</v>
      </c>
      <c r="P324" s="13">
        <v>36.6</v>
      </c>
      <c r="Q324" s="4">
        <v>328239523</v>
      </c>
    </row>
    <row r="325" spans="1:17" x14ac:dyDescent="0.3">
      <c r="A325" s="4">
        <v>344</v>
      </c>
      <c r="B325" s="4" t="s">
        <v>1297</v>
      </c>
      <c r="C325" s="4" t="s">
        <v>31</v>
      </c>
      <c r="D325" s="4" t="s">
        <v>1298</v>
      </c>
      <c r="E325" s="4" t="s">
        <v>1299</v>
      </c>
      <c r="F325" s="4" t="s">
        <v>102</v>
      </c>
      <c r="G325" s="4" t="b">
        <v>0</v>
      </c>
      <c r="H325" s="4" t="s">
        <v>84</v>
      </c>
      <c r="I325" s="4" t="s">
        <v>1301</v>
      </c>
      <c r="J325" s="4" t="s">
        <v>1300</v>
      </c>
      <c r="K325" s="7">
        <v>6900</v>
      </c>
      <c r="L325" s="10">
        <v>117.24</v>
      </c>
      <c r="M325" s="5" t="s">
        <v>36</v>
      </c>
      <c r="N325" s="4">
        <v>78.5</v>
      </c>
      <c r="O325" s="13">
        <v>9.6</v>
      </c>
      <c r="P325" s="13">
        <v>36.6</v>
      </c>
      <c r="Q325" s="4">
        <v>328239523</v>
      </c>
    </row>
    <row r="326" spans="1:17" x14ac:dyDescent="0.3">
      <c r="A326" s="4">
        <v>344</v>
      </c>
      <c r="B326" s="4" t="s">
        <v>1302</v>
      </c>
      <c r="C326" s="4" t="s">
        <v>31</v>
      </c>
      <c r="D326" s="4" t="s">
        <v>60</v>
      </c>
      <c r="E326" s="4" t="s">
        <v>1303</v>
      </c>
      <c r="F326" s="4" t="s">
        <v>48</v>
      </c>
      <c r="G326" s="4" t="b">
        <v>1</v>
      </c>
      <c r="H326" s="4" t="s">
        <v>25</v>
      </c>
      <c r="I326" s="4" t="s">
        <v>1305</v>
      </c>
      <c r="J326" s="4" t="s">
        <v>1304</v>
      </c>
      <c r="K326" s="7">
        <v>6900</v>
      </c>
      <c r="L326" s="10">
        <v>117.24</v>
      </c>
      <c r="M326" s="5" t="s">
        <v>36</v>
      </c>
      <c r="N326" s="4">
        <v>78.5</v>
      </c>
      <c r="O326" s="13">
        <v>9.6</v>
      </c>
      <c r="P326" s="13">
        <v>36.6</v>
      </c>
      <c r="Q326" s="4">
        <v>328239523</v>
      </c>
    </row>
    <row r="327" spans="1:17" x14ac:dyDescent="0.3">
      <c r="A327" s="4">
        <v>344</v>
      </c>
      <c r="B327" s="4" t="s">
        <v>1306</v>
      </c>
      <c r="C327" s="4" t="s">
        <v>104</v>
      </c>
      <c r="D327" s="4" t="s">
        <v>1307</v>
      </c>
      <c r="E327" s="4" t="s">
        <v>1308</v>
      </c>
      <c r="F327" s="4" t="s">
        <v>37</v>
      </c>
      <c r="G327" s="4" t="b">
        <v>1</v>
      </c>
      <c r="H327" s="4" t="s">
        <v>25</v>
      </c>
      <c r="I327" s="4" t="s">
        <v>1309</v>
      </c>
      <c r="J327" s="4" t="s">
        <v>656</v>
      </c>
      <c r="K327" s="7">
        <v>6900</v>
      </c>
      <c r="L327" s="10">
        <v>125.08</v>
      </c>
      <c r="M327" s="5" t="s">
        <v>109</v>
      </c>
      <c r="N327" s="4">
        <v>77</v>
      </c>
      <c r="O327" s="13">
        <v>9.4</v>
      </c>
      <c r="P327" s="13">
        <v>59.2</v>
      </c>
      <c r="Q327" s="4">
        <v>1397715000</v>
      </c>
    </row>
    <row r="328" spans="1:17" x14ac:dyDescent="0.3">
      <c r="A328" s="4">
        <v>344</v>
      </c>
      <c r="B328" s="4" t="s">
        <v>1310</v>
      </c>
      <c r="C328" s="4" t="s">
        <v>31</v>
      </c>
      <c r="D328" s="4" t="s">
        <v>1311</v>
      </c>
      <c r="E328" s="4" t="s">
        <v>464</v>
      </c>
      <c r="F328" s="4" t="s">
        <v>461</v>
      </c>
      <c r="G328" s="4" t="b">
        <v>1</v>
      </c>
      <c r="H328" s="4" t="s">
        <v>25</v>
      </c>
      <c r="I328" s="4" t="s">
        <v>1266</v>
      </c>
      <c r="J328" s="4" t="s">
        <v>1312</v>
      </c>
      <c r="K328" s="7">
        <v>6900</v>
      </c>
      <c r="L328" s="10">
        <v>117.24</v>
      </c>
      <c r="M328" s="5" t="s">
        <v>36</v>
      </c>
      <c r="N328" s="4">
        <v>78.5</v>
      </c>
      <c r="O328" s="13">
        <v>9.6</v>
      </c>
      <c r="P328" s="13">
        <v>36.6</v>
      </c>
      <c r="Q328" s="4">
        <v>328239523</v>
      </c>
    </row>
    <row r="329" spans="1:17" x14ac:dyDescent="0.3">
      <c r="A329" s="4">
        <v>344</v>
      </c>
      <c r="B329" s="4" t="s">
        <v>1313</v>
      </c>
      <c r="C329" s="4" t="s">
        <v>92</v>
      </c>
      <c r="D329" s="4" t="s">
        <v>93</v>
      </c>
      <c r="E329" s="4" t="s">
        <v>94</v>
      </c>
      <c r="F329" s="4" t="s">
        <v>20</v>
      </c>
      <c r="G329" s="4" t="b">
        <v>0</v>
      </c>
      <c r="H329" s="4" t="s">
        <v>84</v>
      </c>
      <c r="I329" s="4" t="s">
        <v>1315</v>
      </c>
      <c r="J329" s="4" t="s">
        <v>1314</v>
      </c>
      <c r="K329" s="7">
        <v>6900</v>
      </c>
      <c r="L329" s="10">
        <v>110.96</v>
      </c>
      <c r="M329" s="5" t="s">
        <v>97</v>
      </c>
      <c r="N329" s="4">
        <v>83.3</v>
      </c>
      <c r="O329" s="13">
        <v>14.2</v>
      </c>
      <c r="P329" s="13">
        <v>47</v>
      </c>
      <c r="Q329" s="4">
        <v>47076781</v>
      </c>
    </row>
    <row r="330" spans="1:17" x14ac:dyDescent="0.3">
      <c r="A330" s="4">
        <v>344</v>
      </c>
      <c r="B330" s="4" t="s">
        <v>1316</v>
      </c>
      <c r="C330" s="4" t="s">
        <v>31</v>
      </c>
      <c r="D330" s="4" t="s">
        <v>1317</v>
      </c>
      <c r="E330" s="4" t="s">
        <v>1318</v>
      </c>
      <c r="F330" s="4" t="s">
        <v>350</v>
      </c>
      <c r="G330" s="4" t="b">
        <v>0</v>
      </c>
      <c r="H330" s="4" t="s">
        <v>84</v>
      </c>
      <c r="I330" s="4" t="s">
        <v>1320</v>
      </c>
      <c r="J330" s="4" t="s">
        <v>1319</v>
      </c>
      <c r="K330" s="7">
        <v>6900</v>
      </c>
      <c r="L330" s="10">
        <v>117.24</v>
      </c>
      <c r="M330" s="5" t="s">
        <v>36</v>
      </c>
      <c r="N330" s="4">
        <v>78.5</v>
      </c>
      <c r="O330" s="13">
        <v>9.6</v>
      </c>
      <c r="P330" s="13">
        <v>36.6</v>
      </c>
      <c r="Q330" s="4">
        <v>328239523</v>
      </c>
    </row>
    <row r="331" spans="1:17" x14ac:dyDescent="0.3">
      <c r="A331" s="4">
        <v>352</v>
      </c>
      <c r="B331" s="4" t="s">
        <v>1321</v>
      </c>
      <c r="C331" s="4" t="s">
        <v>31</v>
      </c>
      <c r="D331" s="4" t="s">
        <v>741</v>
      </c>
      <c r="E331" s="4" t="s">
        <v>1218</v>
      </c>
      <c r="F331" s="4" t="s">
        <v>291</v>
      </c>
      <c r="G331" s="4" t="b">
        <v>0</v>
      </c>
      <c r="H331" s="4" t="s">
        <v>84</v>
      </c>
      <c r="I331" s="4" t="s">
        <v>1323</v>
      </c>
      <c r="J331" s="4" t="s">
        <v>1322</v>
      </c>
      <c r="K331" s="7">
        <v>6800</v>
      </c>
      <c r="L331" s="10">
        <v>117.24</v>
      </c>
      <c r="M331" s="5" t="s">
        <v>36</v>
      </c>
      <c r="N331" s="4">
        <v>78.5</v>
      </c>
      <c r="O331" s="13">
        <v>9.6</v>
      </c>
      <c r="P331" s="13">
        <v>36.6</v>
      </c>
      <c r="Q331" s="4">
        <v>328239523</v>
      </c>
    </row>
    <row r="332" spans="1:17" x14ac:dyDescent="0.3">
      <c r="A332" s="4">
        <v>352</v>
      </c>
      <c r="B332" s="4" t="s">
        <v>1324</v>
      </c>
      <c r="C332" s="4" t="s">
        <v>679</v>
      </c>
      <c r="D332" s="4" t="s">
        <v>680</v>
      </c>
      <c r="E332" s="4" t="s">
        <v>134</v>
      </c>
      <c r="F332" s="4" t="s">
        <v>71</v>
      </c>
      <c r="G332" s="4" t="b">
        <v>1</v>
      </c>
      <c r="H332" s="4" t="s">
        <v>25</v>
      </c>
      <c r="I332" s="4" t="s">
        <v>1326</v>
      </c>
      <c r="J332" s="4" t="s">
        <v>1325</v>
      </c>
      <c r="K332" s="7">
        <v>6800</v>
      </c>
      <c r="L332" s="10">
        <v>110.62</v>
      </c>
      <c r="M332" s="5" t="s">
        <v>683</v>
      </c>
      <c r="N332" s="4">
        <v>82.9</v>
      </c>
      <c r="O332" s="13">
        <v>24.3</v>
      </c>
      <c r="P332" s="13">
        <v>59.1</v>
      </c>
      <c r="Q332" s="4">
        <v>60297396</v>
      </c>
    </row>
    <row r="333" spans="1:17" x14ac:dyDescent="0.3">
      <c r="A333" s="4">
        <v>352</v>
      </c>
      <c r="B333" s="4" t="s">
        <v>1327</v>
      </c>
      <c r="C333" s="4" t="s">
        <v>225</v>
      </c>
      <c r="D333" s="4" t="s">
        <v>1328</v>
      </c>
      <c r="E333" s="4" t="s">
        <v>1329</v>
      </c>
      <c r="F333" s="4" t="s">
        <v>195</v>
      </c>
      <c r="G333" s="4" t="b">
        <v>1</v>
      </c>
      <c r="H333" s="4" t="s">
        <v>84</v>
      </c>
      <c r="I333" s="4" t="s">
        <v>1331</v>
      </c>
      <c r="J333" s="4" t="s">
        <v>1330</v>
      </c>
      <c r="K333" s="7">
        <v>6800</v>
      </c>
      <c r="L333" s="10">
        <v>119.62</v>
      </c>
      <c r="M333" s="5" t="s">
        <v>230</v>
      </c>
      <c r="N333" s="4">
        <v>81.3</v>
      </c>
      <c r="O333" s="13">
        <v>25.5</v>
      </c>
      <c r="P333" s="13">
        <v>30.6</v>
      </c>
      <c r="Q333" s="4">
        <v>66834405</v>
      </c>
    </row>
    <row r="334" spans="1:17" x14ac:dyDescent="0.3">
      <c r="A334" s="4">
        <v>352</v>
      </c>
      <c r="B334" s="4" t="s">
        <v>1332</v>
      </c>
      <c r="C334" s="4" t="s">
        <v>31</v>
      </c>
      <c r="D334" s="4" t="s">
        <v>741</v>
      </c>
      <c r="E334" s="4" t="s">
        <v>1218</v>
      </c>
      <c r="F334" s="4" t="s">
        <v>291</v>
      </c>
      <c r="G334" s="4" t="b">
        <v>0</v>
      </c>
      <c r="H334" s="4" t="s">
        <v>25</v>
      </c>
      <c r="I334" s="4" t="s">
        <v>318</v>
      </c>
      <c r="J334" s="4" t="s">
        <v>1333</v>
      </c>
      <c r="K334" s="7">
        <v>6800</v>
      </c>
      <c r="L334" s="10">
        <v>117.24</v>
      </c>
      <c r="M334" s="5" t="s">
        <v>36</v>
      </c>
      <c r="N334" s="4">
        <v>78.5</v>
      </c>
      <c r="O334" s="13">
        <v>9.6</v>
      </c>
      <c r="P334" s="13">
        <v>36.6</v>
      </c>
      <c r="Q334" s="4">
        <v>328239523</v>
      </c>
    </row>
    <row r="335" spans="1:17" x14ac:dyDescent="0.3">
      <c r="A335" s="4">
        <v>352</v>
      </c>
      <c r="B335" s="4" t="s">
        <v>1334</v>
      </c>
      <c r="C335" s="4" t="s">
        <v>31</v>
      </c>
      <c r="D335" s="4" t="s">
        <v>741</v>
      </c>
      <c r="E335" s="4" t="s">
        <v>1218</v>
      </c>
      <c r="F335" s="4" t="s">
        <v>291</v>
      </c>
      <c r="G335" s="4" t="b">
        <v>0</v>
      </c>
      <c r="H335" s="4" t="s">
        <v>84</v>
      </c>
      <c r="I335" s="4" t="s">
        <v>1336</v>
      </c>
      <c r="J335" s="4" t="s">
        <v>1335</v>
      </c>
      <c r="K335" s="7">
        <v>6800</v>
      </c>
      <c r="L335" s="10">
        <v>117.24</v>
      </c>
      <c r="M335" s="5" t="s">
        <v>36</v>
      </c>
      <c r="N335" s="4">
        <v>78.5</v>
      </c>
      <c r="O335" s="13">
        <v>9.6</v>
      </c>
      <c r="P335" s="13">
        <v>36.6</v>
      </c>
      <c r="Q335" s="4">
        <v>328239523</v>
      </c>
    </row>
    <row r="336" spans="1:17" x14ac:dyDescent="0.3">
      <c r="A336" s="4">
        <v>352</v>
      </c>
      <c r="B336" s="4" t="s">
        <v>1337</v>
      </c>
      <c r="C336" s="4" t="s">
        <v>31</v>
      </c>
      <c r="D336" s="4" t="s">
        <v>1338</v>
      </c>
      <c r="E336" s="4" t="s">
        <v>370</v>
      </c>
      <c r="F336" s="4" t="s">
        <v>48</v>
      </c>
      <c r="G336" s="4" t="b">
        <v>0</v>
      </c>
      <c r="H336" s="4" t="s">
        <v>25</v>
      </c>
      <c r="I336" s="4" t="s">
        <v>1339</v>
      </c>
      <c r="J336" s="4" t="s">
        <v>371</v>
      </c>
      <c r="K336" s="7">
        <v>6800</v>
      </c>
      <c r="L336" s="10">
        <v>117.24</v>
      </c>
      <c r="M336" s="5" t="s">
        <v>36</v>
      </c>
      <c r="N336" s="4">
        <v>78.5</v>
      </c>
      <c r="O336" s="13">
        <v>9.6</v>
      </c>
      <c r="P336" s="13">
        <v>36.6</v>
      </c>
      <c r="Q336" s="4">
        <v>328239523</v>
      </c>
    </row>
    <row r="337" spans="1:17" x14ac:dyDescent="0.3">
      <c r="A337" s="4">
        <v>352</v>
      </c>
      <c r="B337" s="4" t="s">
        <v>1340</v>
      </c>
      <c r="C337" s="4" t="s">
        <v>31</v>
      </c>
      <c r="D337" s="4" t="s">
        <v>99</v>
      </c>
      <c r="E337" s="4" t="s">
        <v>1341</v>
      </c>
      <c r="F337" s="4" t="s">
        <v>48</v>
      </c>
      <c r="G337" s="4" t="b">
        <v>1</v>
      </c>
      <c r="H337" s="4" t="s">
        <v>25</v>
      </c>
      <c r="I337" s="4" t="s">
        <v>1343</v>
      </c>
      <c r="J337" s="4" t="s">
        <v>1342</v>
      </c>
      <c r="K337" s="7">
        <v>6800</v>
      </c>
      <c r="L337" s="10">
        <v>117.24</v>
      </c>
      <c r="M337" s="5" t="s">
        <v>36</v>
      </c>
      <c r="N337" s="4">
        <v>78.5</v>
      </c>
      <c r="O337" s="13">
        <v>9.6</v>
      </c>
      <c r="P337" s="13">
        <v>36.6</v>
      </c>
      <c r="Q337" s="4">
        <v>328239523</v>
      </c>
    </row>
    <row r="338" spans="1:17" x14ac:dyDescent="0.3">
      <c r="A338" s="4">
        <v>352</v>
      </c>
      <c r="B338" s="4" t="s">
        <v>1344</v>
      </c>
      <c r="C338" s="4" t="s">
        <v>31</v>
      </c>
      <c r="D338" s="4" t="s">
        <v>882</v>
      </c>
      <c r="E338" s="4" t="s">
        <v>1345</v>
      </c>
      <c r="F338" s="4" t="s">
        <v>37</v>
      </c>
      <c r="G338" s="4" t="b">
        <v>1</v>
      </c>
      <c r="H338" s="4" t="s">
        <v>25</v>
      </c>
      <c r="I338" s="4" t="s">
        <v>1347</v>
      </c>
      <c r="J338" s="4" t="s">
        <v>1346</v>
      </c>
      <c r="K338" s="7">
        <v>6800</v>
      </c>
      <c r="L338" s="10">
        <v>117.24</v>
      </c>
      <c r="M338" s="5" t="s">
        <v>36</v>
      </c>
      <c r="N338" s="4">
        <v>78.5</v>
      </c>
      <c r="O338" s="13">
        <v>9.6</v>
      </c>
      <c r="P338" s="13">
        <v>36.6</v>
      </c>
      <c r="Q338" s="4">
        <v>328239523</v>
      </c>
    </row>
    <row r="339" spans="1:17" x14ac:dyDescent="0.3">
      <c r="A339" s="4">
        <v>352</v>
      </c>
      <c r="B339" s="4" t="s">
        <v>1348</v>
      </c>
      <c r="C339" s="4" t="s">
        <v>31</v>
      </c>
      <c r="D339" s="4" t="s">
        <v>1349</v>
      </c>
      <c r="E339" s="4" t="s">
        <v>203</v>
      </c>
      <c r="F339" s="4" t="s">
        <v>48</v>
      </c>
      <c r="G339" s="4" t="b">
        <v>1</v>
      </c>
      <c r="H339" s="4" t="s">
        <v>25</v>
      </c>
      <c r="I339" s="4" t="s">
        <v>189</v>
      </c>
      <c r="J339" s="4" t="s">
        <v>1350</v>
      </c>
      <c r="K339" s="7">
        <v>6800</v>
      </c>
      <c r="L339" s="10">
        <v>117.24</v>
      </c>
      <c r="M339" s="5" t="s">
        <v>36</v>
      </c>
      <c r="N339" s="4">
        <v>78.5</v>
      </c>
      <c r="O339" s="13">
        <v>9.6</v>
      </c>
      <c r="P339" s="13">
        <v>36.6</v>
      </c>
      <c r="Q339" s="4">
        <v>328239523</v>
      </c>
    </row>
    <row r="340" spans="1:17" x14ac:dyDescent="0.3">
      <c r="A340" s="4">
        <v>352</v>
      </c>
      <c r="B340" s="4" t="s">
        <v>1351</v>
      </c>
      <c r="C340" s="4" t="s">
        <v>31</v>
      </c>
      <c r="D340" s="4" t="s">
        <v>1352</v>
      </c>
      <c r="E340" s="4" t="s">
        <v>203</v>
      </c>
      <c r="F340" s="4" t="s">
        <v>48</v>
      </c>
      <c r="G340" s="4" t="b">
        <v>1</v>
      </c>
      <c r="H340" s="4" t="s">
        <v>25</v>
      </c>
      <c r="I340" s="4" t="s">
        <v>136</v>
      </c>
      <c r="J340" s="4" t="s">
        <v>1353</v>
      </c>
      <c r="K340" s="7">
        <v>6800</v>
      </c>
      <c r="L340" s="10">
        <v>117.24</v>
      </c>
      <c r="M340" s="5" t="s">
        <v>36</v>
      </c>
      <c r="N340" s="4">
        <v>78.5</v>
      </c>
      <c r="O340" s="13">
        <v>9.6</v>
      </c>
      <c r="P340" s="13">
        <v>36.6</v>
      </c>
      <c r="Q340" s="4">
        <v>328239523</v>
      </c>
    </row>
    <row r="341" spans="1:17" x14ac:dyDescent="0.3">
      <c r="A341" s="4">
        <v>352</v>
      </c>
      <c r="B341" s="4" t="s">
        <v>1354</v>
      </c>
      <c r="C341" s="4" t="s">
        <v>326</v>
      </c>
      <c r="D341" s="4" t="s">
        <v>327</v>
      </c>
      <c r="E341" s="4" t="s">
        <v>1355</v>
      </c>
      <c r="F341" s="4" t="s">
        <v>71</v>
      </c>
      <c r="G341" s="4" t="b">
        <v>1</v>
      </c>
      <c r="H341" s="4" t="s">
        <v>25</v>
      </c>
      <c r="I341" s="4" t="s">
        <v>747</v>
      </c>
      <c r="J341" s="4" t="s">
        <v>1356</v>
      </c>
      <c r="K341" s="7">
        <v>6800</v>
      </c>
      <c r="L341" s="10">
        <v>180.75</v>
      </c>
      <c r="M341" s="5" t="s">
        <v>331</v>
      </c>
      <c r="N341" s="4">
        <v>72.7</v>
      </c>
      <c r="O341" s="13">
        <v>11.4</v>
      </c>
      <c r="P341" s="13">
        <v>46.2</v>
      </c>
      <c r="Q341" s="4">
        <v>144373535</v>
      </c>
    </row>
    <row r="342" spans="1:17" x14ac:dyDescent="0.3">
      <c r="A342" s="4">
        <v>352</v>
      </c>
      <c r="B342" s="4" t="s">
        <v>1357</v>
      </c>
      <c r="C342" s="4" t="s">
        <v>104</v>
      </c>
      <c r="D342" s="4" t="s">
        <v>191</v>
      </c>
      <c r="E342" s="4" t="s">
        <v>1204</v>
      </c>
      <c r="F342" s="4" t="s">
        <v>37</v>
      </c>
      <c r="G342" s="4" t="b">
        <v>1</v>
      </c>
      <c r="H342" s="4" t="s">
        <v>25</v>
      </c>
      <c r="I342" s="4" t="s">
        <v>1358</v>
      </c>
      <c r="J342" s="4" t="s">
        <v>383</v>
      </c>
      <c r="K342" s="7">
        <v>6800</v>
      </c>
      <c r="L342" s="10">
        <v>125.08</v>
      </c>
      <c r="M342" s="5" t="s">
        <v>109</v>
      </c>
      <c r="N342" s="4">
        <v>77</v>
      </c>
      <c r="O342" s="13">
        <v>9.4</v>
      </c>
      <c r="P342" s="13">
        <v>59.2</v>
      </c>
      <c r="Q342" s="4">
        <v>1397715000</v>
      </c>
    </row>
    <row r="343" spans="1:17" x14ac:dyDescent="0.3">
      <c r="A343" s="4">
        <v>352</v>
      </c>
      <c r="B343" s="4" t="s">
        <v>1359</v>
      </c>
      <c r="C343" s="4" t="s">
        <v>31</v>
      </c>
      <c r="D343" s="4" t="s">
        <v>741</v>
      </c>
      <c r="E343" s="4" t="s">
        <v>1218</v>
      </c>
      <c r="F343" s="4" t="s">
        <v>291</v>
      </c>
      <c r="G343" s="4" t="b">
        <v>0</v>
      </c>
      <c r="H343" s="4" t="s">
        <v>84</v>
      </c>
      <c r="I343" s="4" t="s">
        <v>1361</v>
      </c>
      <c r="J343" s="4" t="s">
        <v>1360</v>
      </c>
      <c r="K343" s="7">
        <v>6800</v>
      </c>
      <c r="L343" s="10">
        <v>117.24</v>
      </c>
      <c r="M343" s="5" t="s">
        <v>36</v>
      </c>
      <c r="N343" s="4">
        <v>78.5</v>
      </c>
      <c r="O343" s="13">
        <v>9.6</v>
      </c>
      <c r="P343" s="13">
        <v>36.6</v>
      </c>
      <c r="Q343" s="4">
        <v>328239523</v>
      </c>
    </row>
    <row r="344" spans="1:17" x14ac:dyDescent="0.3">
      <c r="A344" s="4">
        <v>365</v>
      </c>
      <c r="B344" s="4" t="s">
        <v>1362</v>
      </c>
      <c r="C344" s="4" t="s">
        <v>31</v>
      </c>
      <c r="D344" s="4" t="s">
        <v>591</v>
      </c>
      <c r="E344" s="4" t="s">
        <v>1363</v>
      </c>
      <c r="F344" s="4" t="s">
        <v>48</v>
      </c>
      <c r="G344" s="4" t="b">
        <v>1</v>
      </c>
      <c r="H344" s="4" t="s">
        <v>25</v>
      </c>
      <c r="I344" s="4" t="s">
        <v>205</v>
      </c>
      <c r="J344" s="4" t="s">
        <v>1364</v>
      </c>
      <c r="K344" s="7">
        <v>6700</v>
      </c>
      <c r="L344" s="10">
        <v>117.24</v>
      </c>
      <c r="M344" s="5" t="s">
        <v>36</v>
      </c>
      <c r="N344" s="4">
        <v>78.5</v>
      </c>
      <c r="O344" s="13">
        <v>9.6</v>
      </c>
      <c r="P344" s="13">
        <v>36.6</v>
      </c>
      <c r="Q344" s="4">
        <v>328239523</v>
      </c>
    </row>
    <row r="345" spans="1:17" x14ac:dyDescent="0.3">
      <c r="A345" s="4">
        <v>365</v>
      </c>
      <c r="B345" s="4" t="s">
        <v>1365</v>
      </c>
      <c r="C345" s="4" t="s">
        <v>225</v>
      </c>
      <c r="D345" s="4" t="s">
        <v>226</v>
      </c>
      <c r="E345" s="4" t="s">
        <v>203</v>
      </c>
      <c r="F345" s="4" t="s">
        <v>48</v>
      </c>
      <c r="G345" s="4" t="b">
        <v>1</v>
      </c>
      <c r="H345" s="4" t="s">
        <v>25</v>
      </c>
      <c r="I345" s="4" t="s">
        <v>1367</v>
      </c>
      <c r="J345" s="4" t="s">
        <v>1366</v>
      </c>
      <c r="K345" s="7">
        <v>6700</v>
      </c>
      <c r="L345" s="10">
        <v>119.62</v>
      </c>
      <c r="M345" s="5" t="s">
        <v>230</v>
      </c>
      <c r="N345" s="4">
        <v>81.3</v>
      </c>
      <c r="O345" s="13">
        <v>25.5</v>
      </c>
      <c r="P345" s="13">
        <v>30.6</v>
      </c>
      <c r="Q345" s="4">
        <v>66834405</v>
      </c>
    </row>
    <row r="346" spans="1:17" x14ac:dyDescent="0.3">
      <c r="A346" s="4">
        <v>365</v>
      </c>
      <c r="B346" s="4" t="s">
        <v>1368</v>
      </c>
      <c r="C346" s="4" t="s">
        <v>1194</v>
      </c>
      <c r="D346" s="4" t="s">
        <v>1369</v>
      </c>
      <c r="E346" s="4" t="s">
        <v>1370</v>
      </c>
      <c r="F346" s="4" t="s">
        <v>249</v>
      </c>
      <c r="G346" s="4" t="b">
        <v>0</v>
      </c>
      <c r="H346" s="4" t="s">
        <v>25</v>
      </c>
      <c r="I346" s="4" t="s">
        <v>1372</v>
      </c>
      <c r="J346" s="4" t="s">
        <v>1371</v>
      </c>
      <c r="K346" s="7">
        <v>6700</v>
      </c>
      <c r="L346" s="10">
        <v>110.35</v>
      </c>
      <c r="M346" s="5" t="s">
        <v>1198</v>
      </c>
      <c r="N346" s="4">
        <v>81</v>
      </c>
      <c r="O346" s="13">
        <v>32.4</v>
      </c>
      <c r="P346" s="13">
        <v>23.8</v>
      </c>
      <c r="Q346" s="4">
        <v>5818553</v>
      </c>
    </row>
    <row r="347" spans="1:17" x14ac:dyDescent="0.3">
      <c r="A347" s="4">
        <v>365</v>
      </c>
      <c r="B347" s="4" t="s">
        <v>1373</v>
      </c>
      <c r="C347" s="4" t="s">
        <v>1194</v>
      </c>
      <c r="D347" s="4" t="s">
        <v>1369</v>
      </c>
      <c r="E347" s="4" t="s">
        <v>1370</v>
      </c>
      <c r="F347" s="4" t="s">
        <v>249</v>
      </c>
      <c r="G347" s="4" t="b">
        <v>0</v>
      </c>
      <c r="H347" s="4" t="s">
        <v>84</v>
      </c>
      <c r="I347" s="4" t="s">
        <v>1374</v>
      </c>
      <c r="J347" s="4" t="s">
        <v>1371</v>
      </c>
      <c r="K347" s="7">
        <v>6700</v>
      </c>
      <c r="L347" s="10">
        <v>110.35</v>
      </c>
      <c r="M347" s="5" t="s">
        <v>1198</v>
      </c>
      <c r="N347" s="4">
        <v>81</v>
      </c>
      <c r="O347" s="13">
        <v>32.4</v>
      </c>
      <c r="P347" s="13">
        <v>23.8</v>
      </c>
      <c r="Q347" s="4">
        <v>5818553</v>
      </c>
    </row>
    <row r="348" spans="1:17" x14ac:dyDescent="0.3">
      <c r="A348" s="4">
        <v>365</v>
      </c>
      <c r="B348" s="4" t="s">
        <v>1375</v>
      </c>
      <c r="C348" s="4" t="s">
        <v>1194</v>
      </c>
      <c r="D348" s="4" t="s">
        <v>1369</v>
      </c>
      <c r="E348" s="4" t="s">
        <v>1370</v>
      </c>
      <c r="F348" s="4" t="s">
        <v>249</v>
      </c>
      <c r="G348" s="4" t="b">
        <v>0</v>
      </c>
      <c r="H348" s="4" t="s">
        <v>25</v>
      </c>
      <c r="I348" s="4" t="s">
        <v>1376</v>
      </c>
      <c r="J348" s="4" t="s">
        <v>1371</v>
      </c>
      <c r="K348" s="7">
        <v>6700</v>
      </c>
      <c r="L348" s="10">
        <v>110.35</v>
      </c>
      <c r="M348" s="5" t="s">
        <v>1198</v>
      </c>
      <c r="N348" s="4">
        <v>81</v>
      </c>
      <c r="O348" s="13">
        <v>32.4</v>
      </c>
      <c r="P348" s="13">
        <v>23.8</v>
      </c>
      <c r="Q348" s="4">
        <v>5818553</v>
      </c>
    </row>
    <row r="349" spans="1:17" x14ac:dyDescent="0.3">
      <c r="A349" s="4">
        <v>365</v>
      </c>
      <c r="B349" s="4" t="s">
        <v>1377</v>
      </c>
      <c r="C349" s="4" t="s">
        <v>679</v>
      </c>
      <c r="D349" s="4" t="s">
        <v>1378</v>
      </c>
      <c r="E349" s="4" t="s">
        <v>516</v>
      </c>
      <c r="F349" s="4" t="s">
        <v>350</v>
      </c>
      <c r="G349" s="4" t="b">
        <v>0</v>
      </c>
      <c r="H349" s="4" t="s">
        <v>84</v>
      </c>
      <c r="I349" s="4" t="s">
        <v>1380</v>
      </c>
      <c r="J349" s="4" t="s">
        <v>1379</v>
      </c>
      <c r="K349" s="7">
        <v>6700</v>
      </c>
      <c r="L349" s="10">
        <v>110.62</v>
      </c>
      <c r="M349" s="5" t="s">
        <v>683</v>
      </c>
      <c r="N349" s="4">
        <v>82.9</v>
      </c>
      <c r="O349" s="13">
        <v>24.3</v>
      </c>
      <c r="P349" s="13">
        <v>59.1</v>
      </c>
      <c r="Q349" s="4">
        <v>60297396</v>
      </c>
    </row>
    <row r="350" spans="1:17" x14ac:dyDescent="0.3">
      <c r="A350" s="4">
        <v>365</v>
      </c>
      <c r="B350" s="4" t="s">
        <v>1381</v>
      </c>
      <c r="C350" s="4" t="s">
        <v>104</v>
      </c>
      <c r="D350" s="4" t="s">
        <v>213</v>
      </c>
      <c r="E350" s="4" t="s">
        <v>214</v>
      </c>
      <c r="F350" s="4" t="s">
        <v>29</v>
      </c>
      <c r="G350" s="4" t="b">
        <v>1</v>
      </c>
      <c r="H350" s="4" t="s">
        <v>25</v>
      </c>
      <c r="I350" s="4" t="s">
        <v>1382</v>
      </c>
      <c r="J350" s="4" t="s">
        <v>418</v>
      </c>
      <c r="K350" s="7">
        <v>6700</v>
      </c>
      <c r="L350" s="10">
        <v>125.08</v>
      </c>
      <c r="M350" s="5" t="s">
        <v>109</v>
      </c>
      <c r="N350" s="4">
        <v>77</v>
      </c>
      <c r="O350" s="13">
        <v>9.4</v>
      </c>
      <c r="P350" s="13">
        <v>59.2</v>
      </c>
      <c r="Q350" s="4">
        <v>1397715000</v>
      </c>
    </row>
    <row r="351" spans="1:17" x14ac:dyDescent="0.3">
      <c r="A351" s="4">
        <v>365</v>
      </c>
      <c r="B351" s="4" t="s">
        <v>1383</v>
      </c>
      <c r="C351" s="4" t="s">
        <v>104</v>
      </c>
      <c r="D351" s="4" t="s">
        <v>105</v>
      </c>
      <c r="E351" s="4" t="s">
        <v>1384</v>
      </c>
      <c r="F351" s="4" t="s">
        <v>249</v>
      </c>
      <c r="G351" s="4" t="b">
        <v>1</v>
      </c>
      <c r="H351" s="4" t="s">
        <v>25</v>
      </c>
      <c r="I351" s="4" t="s">
        <v>941</v>
      </c>
      <c r="J351" s="4" t="s">
        <v>1385</v>
      </c>
      <c r="K351" s="7">
        <v>6700</v>
      </c>
      <c r="L351" s="10">
        <v>125.08</v>
      </c>
      <c r="M351" s="5" t="s">
        <v>109</v>
      </c>
      <c r="N351" s="4">
        <v>77</v>
      </c>
      <c r="O351" s="13">
        <v>9.4</v>
      </c>
      <c r="P351" s="13">
        <v>59.2</v>
      </c>
      <c r="Q351" s="4">
        <v>1397715000</v>
      </c>
    </row>
    <row r="352" spans="1:17" x14ac:dyDescent="0.3">
      <c r="A352" s="4">
        <v>365</v>
      </c>
      <c r="B352" s="4" t="s">
        <v>1386</v>
      </c>
      <c r="C352" s="4" t="s">
        <v>169</v>
      </c>
      <c r="D352" s="4" t="s">
        <v>1387</v>
      </c>
      <c r="E352" s="4" t="s">
        <v>347</v>
      </c>
      <c r="F352" s="4" t="s">
        <v>249</v>
      </c>
      <c r="G352" s="4" t="b">
        <v>0</v>
      </c>
      <c r="H352" s="4" t="s">
        <v>84</v>
      </c>
      <c r="I352" s="4" t="s">
        <v>1389</v>
      </c>
      <c r="J352" s="4" t="s">
        <v>1388</v>
      </c>
      <c r="K352" s="7">
        <v>6700</v>
      </c>
      <c r="L352" s="10">
        <v>99.55</v>
      </c>
      <c r="M352" s="5" t="s">
        <v>174</v>
      </c>
      <c r="N352" s="4">
        <v>83.6</v>
      </c>
      <c r="O352" s="13">
        <v>10.1</v>
      </c>
      <c r="P352" s="13">
        <v>28.8</v>
      </c>
      <c r="Q352" s="4">
        <v>8574832</v>
      </c>
    </row>
    <row r="353" spans="1:17" x14ac:dyDescent="0.3">
      <c r="A353" s="4">
        <v>365</v>
      </c>
      <c r="B353" s="4" t="s">
        <v>1390</v>
      </c>
      <c r="C353" s="4" t="s">
        <v>22</v>
      </c>
      <c r="D353" s="4" t="s">
        <v>23</v>
      </c>
      <c r="E353" s="4" t="s">
        <v>357</v>
      </c>
      <c r="F353" s="4" t="s">
        <v>64</v>
      </c>
      <c r="G353" s="4" t="b">
        <v>1</v>
      </c>
      <c r="H353" s="4" t="s">
        <v>25</v>
      </c>
      <c r="I353" s="4" t="s">
        <v>1392</v>
      </c>
      <c r="J353" s="4" t="s">
        <v>1391</v>
      </c>
      <c r="K353" s="7">
        <v>6700</v>
      </c>
      <c r="L353" s="10">
        <v>110.05</v>
      </c>
      <c r="M353" s="5" t="s">
        <v>28</v>
      </c>
      <c r="N353" s="4">
        <v>82.5</v>
      </c>
      <c r="O353" s="13">
        <v>24.2</v>
      </c>
      <c r="P353" s="13">
        <v>60.7</v>
      </c>
      <c r="Q353" s="4">
        <v>67059887</v>
      </c>
    </row>
    <row r="354" spans="1:17" x14ac:dyDescent="0.3">
      <c r="A354" s="4">
        <v>365</v>
      </c>
      <c r="B354" s="4" t="s">
        <v>1393</v>
      </c>
      <c r="C354" s="4" t="s">
        <v>31</v>
      </c>
      <c r="D354" s="4" t="s">
        <v>1394</v>
      </c>
      <c r="E354" s="4" t="s">
        <v>1395</v>
      </c>
      <c r="F354" s="4" t="s">
        <v>291</v>
      </c>
      <c r="G354" s="4" t="b">
        <v>1</v>
      </c>
      <c r="H354" s="4" t="s">
        <v>25</v>
      </c>
      <c r="I354" s="4" t="s">
        <v>1397</v>
      </c>
      <c r="J354" s="4" t="s">
        <v>1396</v>
      </c>
      <c r="K354" s="7">
        <v>6700</v>
      </c>
      <c r="L354" s="10">
        <v>117.24</v>
      </c>
      <c r="M354" s="5" t="s">
        <v>36</v>
      </c>
      <c r="N354" s="4">
        <v>78.5</v>
      </c>
      <c r="O354" s="13">
        <v>9.6</v>
      </c>
      <c r="P354" s="13">
        <v>36.6</v>
      </c>
      <c r="Q354" s="4">
        <v>328239523</v>
      </c>
    </row>
    <row r="355" spans="1:17" x14ac:dyDescent="0.3">
      <c r="A355" s="4">
        <v>365</v>
      </c>
      <c r="B355" s="4" t="s">
        <v>1398</v>
      </c>
      <c r="C355" s="4" t="s">
        <v>31</v>
      </c>
      <c r="D355" s="4" t="s">
        <v>830</v>
      </c>
      <c r="E355" s="4" t="s">
        <v>464</v>
      </c>
      <c r="F355" s="4" t="s">
        <v>461</v>
      </c>
      <c r="G355" s="4" t="b">
        <v>0</v>
      </c>
      <c r="H355" s="4" t="s">
        <v>25</v>
      </c>
      <c r="I355" s="4" t="s">
        <v>1339</v>
      </c>
      <c r="J355" s="4" t="s">
        <v>1399</v>
      </c>
      <c r="K355" s="7">
        <v>6700</v>
      </c>
      <c r="L355" s="10">
        <v>117.24</v>
      </c>
      <c r="M355" s="5" t="s">
        <v>36</v>
      </c>
      <c r="N355" s="4">
        <v>78.5</v>
      </c>
      <c r="O355" s="13">
        <v>9.6</v>
      </c>
      <c r="P355" s="13">
        <v>36.6</v>
      </c>
      <c r="Q355" s="4">
        <v>328239523</v>
      </c>
    </row>
    <row r="356" spans="1:17" x14ac:dyDescent="0.3">
      <c r="A356" s="4">
        <v>365</v>
      </c>
      <c r="B356" s="4" t="s">
        <v>1400</v>
      </c>
      <c r="C356" s="4" t="s">
        <v>31</v>
      </c>
      <c r="D356" s="4" t="s">
        <v>502</v>
      </c>
      <c r="E356" s="4" t="s">
        <v>464</v>
      </c>
      <c r="F356" s="4" t="s">
        <v>461</v>
      </c>
      <c r="G356" s="4" t="b">
        <v>1</v>
      </c>
      <c r="H356" s="4" t="s">
        <v>25</v>
      </c>
      <c r="I356" s="4" t="s">
        <v>1402</v>
      </c>
      <c r="J356" s="4" t="s">
        <v>1401</v>
      </c>
      <c r="K356" s="7">
        <v>6700</v>
      </c>
      <c r="L356" s="10">
        <v>117.24</v>
      </c>
      <c r="M356" s="5" t="s">
        <v>36</v>
      </c>
      <c r="N356" s="4">
        <v>78.5</v>
      </c>
      <c r="O356" s="13">
        <v>9.6</v>
      </c>
      <c r="P356" s="13">
        <v>36.6</v>
      </c>
      <c r="Q356" s="4">
        <v>328239523</v>
      </c>
    </row>
    <row r="357" spans="1:17" x14ac:dyDescent="0.3">
      <c r="A357" s="4">
        <v>365</v>
      </c>
      <c r="B357" s="4" t="s">
        <v>1403</v>
      </c>
      <c r="C357" s="4" t="s">
        <v>31</v>
      </c>
      <c r="D357" s="4" t="s">
        <v>1404</v>
      </c>
      <c r="E357" s="4" t="s">
        <v>203</v>
      </c>
      <c r="F357" s="4" t="s">
        <v>48</v>
      </c>
      <c r="G357" s="4" t="b">
        <v>1</v>
      </c>
      <c r="H357" s="4" t="s">
        <v>25</v>
      </c>
      <c r="I357" s="4" t="s">
        <v>599</v>
      </c>
      <c r="J357" s="4" t="s">
        <v>1405</v>
      </c>
      <c r="K357" s="7">
        <v>6700</v>
      </c>
      <c r="L357" s="10">
        <v>117.24</v>
      </c>
      <c r="M357" s="5" t="s">
        <v>36</v>
      </c>
      <c r="N357" s="4">
        <v>78.5</v>
      </c>
      <c r="O357" s="13">
        <v>9.6</v>
      </c>
      <c r="P357" s="13">
        <v>36.6</v>
      </c>
      <c r="Q357" s="4">
        <v>328239523</v>
      </c>
    </row>
    <row r="358" spans="1:17" x14ac:dyDescent="0.3">
      <c r="A358" s="4">
        <v>365</v>
      </c>
      <c r="B358" s="4" t="s">
        <v>1406</v>
      </c>
      <c r="C358" s="4" t="s">
        <v>31</v>
      </c>
      <c r="D358" s="4" t="s">
        <v>1407</v>
      </c>
      <c r="E358" s="4" t="s">
        <v>1408</v>
      </c>
      <c r="F358" s="4" t="s">
        <v>37</v>
      </c>
      <c r="G358" s="4" t="b">
        <v>1</v>
      </c>
      <c r="H358" s="4" t="s">
        <v>25</v>
      </c>
      <c r="I358" s="4" t="s">
        <v>136</v>
      </c>
      <c r="J358" s="4" t="s">
        <v>814</v>
      </c>
      <c r="K358" s="7">
        <v>6700</v>
      </c>
      <c r="L358" s="10">
        <v>117.24</v>
      </c>
      <c r="M358" s="5" t="s">
        <v>36</v>
      </c>
      <c r="N358" s="4">
        <v>78.5</v>
      </c>
      <c r="O358" s="13">
        <v>9.6</v>
      </c>
      <c r="P358" s="13">
        <v>36.6</v>
      </c>
      <c r="Q358" s="4">
        <v>328239523</v>
      </c>
    </row>
    <row r="359" spans="1:17" x14ac:dyDescent="0.3">
      <c r="A359" s="4">
        <v>365</v>
      </c>
      <c r="B359" s="4" t="s">
        <v>1409</v>
      </c>
      <c r="C359" s="4" t="s">
        <v>1194</v>
      </c>
      <c r="D359" s="4" t="s">
        <v>1369</v>
      </c>
      <c r="E359" s="4" t="s">
        <v>1370</v>
      </c>
      <c r="F359" s="4" t="s">
        <v>249</v>
      </c>
      <c r="G359" s="4" t="b">
        <v>0</v>
      </c>
      <c r="H359" s="4" t="s">
        <v>84</v>
      </c>
      <c r="I359" s="4" t="s">
        <v>1411</v>
      </c>
      <c r="J359" s="4" t="s">
        <v>1410</v>
      </c>
      <c r="K359" s="7">
        <v>6700</v>
      </c>
      <c r="L359" s="10">
        <v>110.35</v>
      </c>
      <c r="M359" s="5" t="s">
        <v>1198</v>
      </c>
      <c r="N359" s="4">
        <v>81</v>
      </c>
      <c r="O359" s="13">
        <v>32.4</v>
      </c>
      <c r="P359" s="13">
        <v>23.8</v>
      </c>
      <c r="Q359" s="4">
        <v>5818553</v>
      </c>
    </row>
    <row r="360" spans="1:17" x14ac:dyDescent="0.3">
      <c r="A360" s="4">
        <v>365</v>
      </c>
      <c r="B360" s="4" t="s">
        <v>1412</v>
      </c>
      <c r="C360" s="4" t="s">
        <v>31</v>
      </c>
      <c r="D360" s="4" t="s">
        <v>1413</v>
      </c>
      <c r="E360" s="4" t="s">
        <v>1408</v>
      </c>
      <c r="F360" s="4" t="s">
        <v>37</v>
      </c>
      <c r="G360" s="4" t="b">
        <v>1</v>
      </c>
      <c r="H360" s="4" t="s">
        <v>25</v>
      </c>
      <c r="I360" s="4" t="s">
        <v>189</v>
      </c>
      <c r="J360" s="4" t="s">
        <v>1414</v>
      </c>
      <c r="K360" s="7">
        <v>6700</v>
      </c>
      <c r="L360" s="10">
        <v>117.24</v>
      </c>
      <c r="M360" s="5" t="s">
        <v>36</v>
      </c>
      <c r="N360" s="4">
        <v>78.5</v>
      </c>
      <c r="O360" s="13">
        <v>9.6</v>
      </c>
      <c r="P360" s="13">
        <v>36.6</v>
      </c>
      <c r="Q360" s="4">
        <v>328239523</v>
      </c>
    </row>
    <row r="361" spans="1:17" x14ac:dyDescent="0.3">
      <c r="A361" s="4">
        <v>365</v>
      </c>
      <c r="B361" s="4" t="s">
        <v>1415</v>
      </c>
      <c r="C361" s="4" t="s">
        <v>104</v>
      </c>
      <c r="D361" s="4" t="s">
        <v>1060</v>
      </c>
      <c r="E361" s="4" t="s">
        <v>1416</v>
      </c>
      <c r="F361" s="4" t="s">
        <v>102</v>
      </c>
      <c r="G361" s="4" t="b">
        <v>1</v>
      </c>
      <c r="H361" s="4" t="s">
        <v>25</v>
      </c>
      <c r="I361" s="4" t="s">
        <v>1417</v>
      </c>
      <c r="J361" s="4" t="s">
        <v>548</v>
      </c>
      <c r="K361" s="7">
        <v>6700</v>
      </c>
      <c r="L361" s="10">
        <v>125.08</v>
      </c>
      <c r="M361" s="5" t="s">
        <v>109</v>
      </c>
      <c r="N361" s="4">
        <v>77</v>
      </c>
      <c r="O361" s="13">
        <v>9.4</v>
      </c>
      <c r="P361" s="13">
        <v>59.2</v>
      </c>
      <c r="Q361" s="4">
        <v>1397715000</v>
      </c>
    </row>
    <row r="362" spans="1:17" x14ac:dyDescent="0.3">
      <c r="A362" s="4">
        <v>383</v>
      </c>
      <c r="B362" s="4" t="s">
        <v>1418</v>
      </c>
      <c r="C362" s="4" t="s">
        <v>169</v>
      </c>
      <c r="D362" s="4" t="s">
        <v>1419</v>
      </c>
      <c r="E362" s="4" t="s">
        <v>347</v>
      </c>
      <c r="F362" s="4" t="s">
        <v>249</v>
      </c>
      <c r="G362" s="4" t="b">
        <v>0</v>
      </c>
      <c r="H362" s="4" t="s">
        <v>84</v>
      </c>
      <c r="I362" s="4" t="s">
        <v>1421</v>
      </c>
      <c r="J362" s="4" t="s">
        <v>1420</v>
      </c>
      <c r="K362" s="7">
        <v>6600</v>
      </c>
      <c r="L362" s="10">
        <v>99.55</v>
      </c>
      <c r="M362" s="5" t="s">
        <v>174</v>
      </c>
      <c r="N362" s="4">
        <v>83.6</v>
      </c>
      <c r="O362" s="13">
        <v>10.1</v>
      </c>
      <c r="P362" s="13">
        <v>28.8</v>
      </c>
      <c r="Q362" s="4">
        <v>8574832</v>
      </c>
    </row>
    <row r="363" spans="1:17" x14ac:dyDescent="0.3">
      <c r="A363" s="4">
        <v>383</v>
      </c>
      <c r="B363" s="4" t="s">
        <v>1422</v>
      </c>
      <c r="C363" s="4" t="s">
        <v>31</v>
      </c>
      <c r="D363" s="4" t="s">
        <v>983</v>
      </c>
      <c r="E363" s="4" t="s">
        <v>1423</v>
      </c>
      <c r="F363" s="4" t="s">
        <v>102</v>
      </c>
      <c r="G363" s="4" t="b">
        <v>0</v>
      </c>
      <c r="H363" s="4" t="s">
        <v>25</v>
      </c>
      <c r="I363" s="4" t="s">
        <v>1425</v>
      </c>
      <c r="J363" s="4" t="s">
        <v>1424</v>
      </c>
      <c r="K363" s="7">
        <v>6600</v>
      </c>
      <c r="L363" s="10">
        <v>117.24</v>
      </c>
      <c r="M363" s="5" t="s">
        <v>36</v>
      </c>
      <c r="N363" s="4">
        <v>78.5</v>
      </c>
      <c r="O363" s="13">
        <v>9.6</v>
      </c>
      <c r="P363" s="13">
        <v>36.6</v>
      </c>
      <c r="Q363" s="4">
        <v>328239523</v>
      </c>
    </row>
    <row r="364" spans="1:17" x14ac:dyDescent="0.3">
      <c r="A364" s="4">
        <v>383</v>
      </c>
      <c r="B364" s="4" t="s">
        <v>1426</v>
      </c>
      <c r="C364" s="4" t="s">
        <v>31</v>
      </c>
      <c r="D364" s="4" t="s">
        <v>983</v>
      </c>
      <c r="E364" s="4" t="s">
        <v>1423</v>
      </c>
      <c r="F364" s="4" t="s">
        <v>102</v>
      </c>
      <c r="G364" s="4" t="b">
        <v>0</v>
      </c>
      <c r="H364" s="4" t="s">
        <v>25</v>
      </c>
      <c r="I364" s="4" t="s">
        <v>1427</v>
      </c>
      <c r="J364" s="4" t="s">
        <v>1424</v>
      </c>
      <c r="K364" s="7">
        <v>6600</v>
      </c>
      <c r="L364" s="10">
        <v>117.24</v>
      </c>
      <c r="M364" s="5" t="s">
        <v>36</v>
      </c>
      <c r="N364" s="4">
        <v>78.5</v>
      </c>
      <c r="O364" s="13">
        <v>9.6</v>
      </c>
      <c r="P364" s="13">
        <v>36.6</v>
      </c>
      <c r="Q364" s="4">
        <v>328239523</v>
      </c>
    </row>
    <row r="365" spans="1:17" x14ac:dyDescent="0.3">
      <c r="A365" s="4">
        <v>383</v>
      </c>
      <c r="B365" s="4" t="s">
        <v>1428</v>
      </c>
      <c r="C365" s="4" t="s">
        <v>31</v>
      </c>
      <c r="D365" s="4" t="s">
        <v>1429</v>
      </c>
      <c r="E365" s="4" t="s">
        <v>1423</v>
      </c>
      <c r="F365" s="4" t="s">
        <v>102</v>
      </c>
      <c r="G365" s="4" t="b">
        <v>0</v>
      </c>
      <c r="H365" s="4" t="s">
        <v>84</v>
      </c>
      <c r="I365" s="4" t="s">
        <v>1431</v>
      </c>
      <c r="J365" s="4" t="s">
        <v>1430</v>
      </c>
      <c r="K365" s="7">
        <v>6600</v>
      </c>
      <c r="L365" s="10">
        <v>117.24</v>
      </c>
      <c r="M365" s="5" t="s">
        <v>36</v>
      </c>
      <c r="N365" s="4">
        <v>78.5</v>
      </c>
      <c r="O365" s="13">
        <v>9.6</v>
      </c>
      <c r="P365" s="13">
        <v>36.6</v>
      </c>
      <c r="Q365" s="4">
        <v>328239523</v>
      </c>
    </row>
    <row r="366" spans="1:17" x14ac:dyDescent="0.3">
      <c r="A366" s="4">
        <v>383</v>
      </c>
      <c r="B366" s="4" t="s">
        <v>1432</v>
      </c>
      <c r="C366" s="4" t="s">
        <v>31</v>
      </c>
      <c r="D366" s="4" t="s">
        <v>60</v>
      </c>
      <c r="E366" s="4" t="s">
        <v>203</v>
      </c>
      <c r="F366" s="4" t="s">
        <v>48</v>
      </c>
      <c r="G366" s="4" t="b">
        <v>1</v>
      </c>
      <c r="H366" s="4" t="s">
        <v>25</v>
      </c>
      <c r="I366" s="4" t="s">
        <v>1434</v>
      </c>
      <c r="J366" s="4" t="s">
        <v>1433</v>
      </c>
      <c r="K366" s="7">
        <v>6600</v>
      </c>
      <c r="L366" s="10">
        <v>117.24</v>
      </c>
      <c r="M366" s="5" t="s">
        <v>36</v>
      </c>
      <c r="N366" s="4">
        <v>78.5</v>
      </c>
      <c r="O366" s="13">
        <v>9.6</v>
      </c>
      <c r="P366" s="13">
        <v>36.6</v>
      </c>
      <c r="Q366" s="4">
        <v>328239523</v>
      </c>
    </row>
    <row r="367" spans="1:17" x14ac:dyDescent="0.3">
      <c r="A367" s="4">
        <v>383</v>
      </c>
      <c r="B367" s="4" t="s">
        <v>1435</v>
      </c>
      <c r="C367" s="4" t="s">
        <v>31</v>
      </c>
      <c r="D367" s="4" t="s">
        <v>1436</v>
      </c>
      <c r="E367" s="4" t="s">
        <v>386</v>
      </c>
      <c r="F367" s="4" t="s">
        <v>37</v>
      </c>
      <c r="G367" s="4" t="b">
        <v>1</v>
      </c>
      <c r="H367" s="4" t="s">
        <v>25</v>
      </c>
      <c r="I367" s="4" t="s">
        <v>1112</v>
      </c>
      <c r="J367" s="4" t="s">
        <v>1437</v>
      </c>
      <c r="K367" s="7">
        <v>6600</v>
      </c>
      <c r="L367" s="10">
        <v>117.24</v>
      </c>
      <c r="M367" s="5" t="s">
        <v>36</v>
      </c>
      <c r="N367" s="4">
        <v>78.5</v>
      </c>
      <c r="O367" s="13">
        <v>9.6</v>
      </c>
      <c r="P367" s="13">
        <v>36.6</v>
      </c>
      <c r="Q367" s="4">
        <v>328239523</v>
      </c>
    </row>
    <row r="368" spans="1:17" x14ac:dyDescent="0.3">
      <c r="A368" s="4">
        <v>383</v>
      </c>
      <c r="B368" s="4" t="s">
        <v>1438</v>
      </c>
      <c r="C368" s="4" t="s">
        <v>157</v>
      </c>
      <c r="D368" s="4" t="s">
        <v>1439</v>
      </c>
      <c r="E368" s="4" t="s">
        <v>263</v>
      </c>
      <c r="F368" s="4" t="s">
        <v>48</v>
      </c>
      <c r="G368" s="4" t="b">
        <v>0</v>
      </c>
      <c r="H368" s="4" t="s">
        <v>84</v>
      </c>
      <c r="I368" s="4" t="s">
        <v>1441</v>
      </c>
      <c r="J368" s="4" t="s">
        <v>1440</v>
      </c>
      <c r="K368" s="7">
        <v>6600</v>
      </c>
      <c r="L368" s="10">
        <v>112.85</v>
      </c>
      <c r="M368" s="5" t="s">
        <v>162</v>
      </c>
      <c r="N368" s="4">
        <v>80.900000000000006</v>
      </c>
      <c r="O368" s="13">
        <v>11.5</v>
      </c>
      <c r="P368" s="13">
        <v>48.8</v>
      </c>
      <c r="Q368" s="4">
        <v>83132799</v>
      </c>
    </row>
    <row r="369" spans="1:17" x14ac:dyDescent="0.3">
      <c r="A369" s="4">
        <v>390</v>
      </c>
      <c r="B369" s="4" t="s">
        <v>1442</v>
      </c>
      <c r="C369" s="4" t="s">
        <v>31</v>
      </c>
      <c r="D369" s="4" t="s">
        <v>129</v>
      </c>
      <c r="E369" s="4" t="s">
        <v>801</v>
      </c>
      <c r="F369" s="4" t="s">
        <v>48</v>
      </c>
      <c r="G369" s="4" t="b">
        <v>1</v>
      </c>
      <c r="H369" s="4" t="s">
        <v>25</v>
      </c>
      <c r="I369" s="4" t="s">
        <v>136</v>
      </c>
      <c r="J369" s="4" t="s">
        <v>1443</v>
      </c>
      <c r="K369" s="7">
        <v>6500</v>
      </c>
      <c r="L369" s="10">
        <v>117.24</v>
      </c>
      <c r="M369" s="5" t="s">
        <v>36</v>
      </c>
      <c r="N369" s="4">
        <v>78.5</v>
      </c>
      <c r="O369" s="13">
        <v>9.6</v>
      </c>
      <c r="P369" s="13">
        <v>36.6</v>
      </c>
      <c r="Q369" s="4">
        <v>328239523</v>
      </c>
    </row>
    <row r="370" spans="1:17" x14ac:dyDescent="0.3">
      <c r="A370" s="4">
        <v>390</v>
      </c>
      <c r="B370" s="4" t="s">
        <v>1444</v>
      </c>
      <c r="C370" s="4" t="s">
        <v>31</v>
      </c>
      <c r="D370" s="4" t="s">
        <v>39</v>
      </c>
      <c r="E370" s="4" t="s">
        <v>55</v>
      </c>
      <c r="F370" s="4" t="s">
        <v>37</v>
      </c>
      <c r="G370" s="4" t="b">
        <v>0</v>
      </c>
      <c r="H370" s="4" t="s">
        <v>84</v>
      </c>
      <c r="I370" s="4" t="s">
        <v>1446</v>
      </c>
      <c r="J370" s="4" t="s">
        <v>1445</v>
      </c>
      <c r="K370" s="7">
        <v>6500</v>
      </c>
      <c r="L370" s="10">
        <v>117.24</v>
      </c>
      <c r="M370" s="5" t="s">
        <v>36</v>
      </c>
      <c r="N370" s="4">
        <v>78.5</v>
      </c>
      <c r="O370" s="13">
        <v>9.6</v>
      </c>
      <c r="P370" s="13">
        <v>36.6</v>
      </c>
      <c r="Q370" s="4">
        <v>328239523</v>
      </c>
    </row>
    <row r="371" spans="1:17" x14ac:dyDescent="0.3">
      <c r="A371" s="4">
        <v>390</v>
      </c>
      <c r="B371" s="4" t="s">
        <v>1447</v>
      </c>
      <c r="C371" s="4" t="s">
        <v>31</v>
      </c>
      <c r="D371" s="4" t="s">
        <v>1448</v>
      </c>
      <c r="E371" s="4" t="s">
        <v>464</v>
      </c>
      <c r="F371" s="4" t="s">
        <v>461</v>
      </c>
      <c r="G371" s="4" t="b">
        <v>0</v>
      </c>
      <c r="H371" s="4" t="s">
        <v>84</v>
      </c>
      <c r="I371" s="4" t="s">
        <v>1450</v>
      </c>
      <c r="J371" s="4" t="s">
        <v>1449</v>
      </c>
      <c r="K371" s="7">
        <v>6500</v>
      </c>
      <c r="L371" s="10">
        <v>117.24</v>
      </c>
      <c r="M371" s="5" t="s">
        <v>36</v>
      </c>
      <c r="N371" s="4">
        <v>78.5</v>
      </c>
      <c r="O371" s="13">
        <v>9.6</v>
      </c>
      <c r="P371" s="13">
        <v>36.6</v>
      </c>
      <c r="Q371" s="4">
        <v>328239523</v>
      </c>
    </row>
    <row r="372" spans="1:17" x14ac:dyDescent="0.3">
      <c r="A372" s="4">
        <v>390</v>
      </c>
      <c r="B372" s="4" t="s">
        <v>1451</v>
      </c>
      <c r="C372" s="4" t="s">
        <v>225</v>
      </c>
      <c r="D372" s="4" t="s">
        <v>226</v>
      </c>
      <c r="E372" s="4" t="s">
        <v>1452</v>
      </c>
      <c r="F372" s="4" t="s">
        <v>461</v>
      </c>
      <c r="G372" s="4" t="b">
        <v>1</v>
      </c>
      <c r="H372" s="4" t="s">
        <v>25</v>
      </c>
      <c r="I372" s="4" t="s">
        <v>136</v>
      </c>
      <c r="J372" s="4" t="s">
        <v>1453</v>
      </c>
      <c r="K372" s="7">
        <v>6500</v>
      </c>
      <c r="L372" s="10">
        <v>119.62</v>
      </c>
      <c r="M372" s="5" t="s">
        <v>230</v>
      </c>
      <c r="N372" s="4">
        <v>81.3</v>
      </c>
      <c r="O372" s="13">
        <v>25.5</v>
      </c>
      <c r="P372" s="13">
        <v>30.6</v>
      </c>
      <c r="Q372" s="4">
        <v>66834405</v>
      </c>
    </row>
    <row r="373" spans="1:17" x14ac:dyDescent="0.3">
      <c r="A373" s="4">
        <v>390</v>
      </c>
      <c r="B373" s="4" t="s">
        <v>1454</v>
      </c>
      <c r="C373" s="4" t="s">
        <v>169</v>
      </c>
      <c r="D373" s="4" t="s">
        <v>1455</v>
      </c>
      <c r="E373" s="4" t="s">
        <v>464</v>
      </c>
      <c r="F373" s="4" t="s">
        <v>461</v>
      </c>
      <c r="G373" s="4" t="b">
        <v>1</v>
      </c>
      <c r="H373" s="4" t="s">
        <v>25</v>
      </c>
      <c r="I373" s="4" t="s">
        <v>1457</v>
      </c>
      <c r="J373" s="4" t="s">
        <v>1456</v>
      </c>
      <c r="K373" s="7">
        <v>6500</v>
      </c>
      <c r="L373" s="10">
        <v>99.55</v>
      </c>
      <c r="M373" s="5" t="s">
        <v>174</v>
      </c>
      <c r="N373" s="4">
        <v>83.6</v>
      </c>
      <c r="O373" s="13">
        <v>10.1</v>
      </c>
      <c r="P373" s="13">
        <v>28.8</v>
      </c>
      <c r="Q373" s="4">
        <v>8574832</v>
      </c>
    </row>
    <row r="374" spans="1:17" x14ac:dyDescent="0.3">
      <c r="A374" s="4">
        <v>397</v>
      </c>
      <c r="B374" s="4" t="s">
        <v>1458</v>
      </c>
      <c r="C374" s="4" t="s">
        <v>496</v>
      </c>
      <c r="D374" s="4" t="s">
        <v>1459</v>
      </c>
      <c r="E374" s="4" t="s">
        <v>263</v>
      </c>
      <c r="F374" s="4" t="s">
        <v>48</v>
      </c>
      <c r="G374" s="4" t="b">
        <v>1</v>
      </c>
      <c r="H374" s="4" t="s">
        <v>25</v>
      </c>
      <c r="I374" s="4" t="s">
        <v>456</v>
      </c>
      <c r="J374" s="4" t="s">
        <v>1460</v>
      </c>
      <c r="K374" s="7">
        <v>6400</v>
      </c>
      <c r="L374" s="10">
        <v>110.51</v>
      </c>
      <c r="M374" s="5" t="s">
        <v>500</v>
      </c>
      <c r="N374" s="4">
        <v>82.5</v>
      </c>
      <c r="O374" s="13">
        <v>27.9</v>
      </c>
      <c r="P374" s="13">
        <v>49.1</v>
      </c>
      <c r="Q374" s="4">
        <v>10285453</v>
      </c>
    </row>
    <row r="375" spans="1:17" x14ac:dyDescent="0.3">
      <c r="A375" s="4">
        <v>397</v>
      </c>
      <c r="B375" s="4" t="s">
        <v>1461</v>
      </c>
      <c r="C375" s="4" t="s">
        <v>31</v>
      </c>
      <c r="D375" s="4" t="s">
        <v>1284</v>
      </c>
      <c r="E375" s="4" t="s">
        <v>1462</v>
      </c>
      <c r="F375" s="4" t="s">
        <v>589</v>
      </c>
      <c r="G375" s="4" t="b">
        <v>1</v>
      </c>
      <c r="H375" s="4" t="s">
        <v>25</v>
      </c>
      <c r="I375" s="4" t="s">
        <v>265</v>
      </c>
      <c r="J375" s="4" t="s">
        <v>1463</v>
      </c>
      <c r="K375" s="7">
        <v>6400</v>
      </c>
      <c r="L375" s="10">
        <v>117.24</v>
      </c>
      <c r="M375" s="5" t="s">
        <v>36</v>
      </c>
      <c r="N375" s="4">
        <v>78.5</v>
      </c>
      <c r="O375" s="13">
        <v>9.6</v>
      </c>
      <c r="P375" s="13">
        <v>36.6</v>
      </c>
      <c r="Q375" s="4">
        <v>328239523</v>
      </c>
    </row>
    <row r="376" spans="1:17" x14ac:dyDescent="0.3">
      <c r="A376" s="4">
        <v>397</v>
      </c>
      <c r="B376" s="4" t="s">
        <v>1464</v>
      </c>
      <c r="C376" s="4" t="s">
        <v>31</v>
      </c>
      <c r="D376" s="4" t="s">
        <v>60</v>
      </c>
      <c r="E376" s="4" t="s">
        <v>203</v>
      </c>
      <c r="F376" s="4" t="s">
        <v>48</v>
      </c>
      <c r="G376" s="4" t="b">
        <v>1</v>
      </c>
      <c r="H376" s="4" t="s">
        <v>25</v>
      </c>
      <c r="I376" s="4" t="s">
        <v>616</v>
      </c>
      <c r="J376" s="4" t="s">
        <v>1465</v>
      </c>
      <c r="K376" s="7">
        <v>6400</v>
      </c>
      <c r="L376" s="10">
        <v>117.24</v>
      </c>
      <c r="M376" s="5" t="s">
        <v>36</v>
      </c>
      <c r="N376" s="4">
        <v>78.5</v>
      </c>
      <c r="O376" s="13">
        <v>9.6</v>
      </c>
      <c r="P376" s="13">
        <v>36.6</v>
      </c>
      <c r="Q376" s="4">
        <v>328239523</v>
      </c>
    </row>
    <row r="377" spans="1:17" x14ac:dyDescent="0.3">
      <c r="A377" s="4">
        <v>397</v>
      </c>
      <c r="B377" s="4" t="s">
        <v>1466</v>
      </c>
      <c r="C377" s="4" t="s">
        <v>104</v>
      </c>
      <c r="D377" s="4" t="s">
        <v>152</v>
      </c>
      <c r="E377" s="4" t="s">
        <v>1467</v>
      </c>
      <c r="F377" s="4" t="s">
        <v>350</v>
      </c>
      <c r="G377" s="4" t="b">
        <v>1</v>
      </c>
      <c r="H377" s="4" t="s">
        <v>84</v>
      </c>
      <c r="I377" s="4" t="s">
        <v>807</v>
      </c>
      <c r="J377" s="4" t="s">
        <v>1468</v>
      </c>
      <c r="K377" s="7">
        <v>6400</v>
      </c>
      <c r="L377" s="10">
        <v>125.08</v>
      </c>
      <c r="M377" s="5" t="s">
        <v>109</v>
      </c>
      <c r="N377" s="4">
        <v>77</v>
      </c>
      <c r="O377" s="13">
        <v>9.4</v>
      </c>
      <c r="P377" s="13">
        <v>59.2</v>
      </c>
      <c r="Q377" s="4">
        <v>1397715000</v>
      </c>
    </row>
    <row r="378" spans="1:17" x14ac:dyDescent="0.3">
      <c r="A378" s="4">
        <v>397</v>
      </c>
      <c r="B378" s="4" t="s">
        <v>1469</v>
      </c>
      <c r="C378" s="4" t="s">
        <v>22</v>
      </c>
      <c r="D378" s="4" t="s">
        <v>23</v>
      </c>
      <c r="E378" s="4" t="s">
        <v>618</v>
      </c>
      <c r="F378" s="4" t="s">
        <v>291</v>
      </c>
      <c r="G378" s="4" t="b">
        <v>1</v>
      </c>
      <c r="H378" s="4" t="s">
        <v>25</v>
      </c>
      <c r="I378" s="4" t="s">
        <v>1471</v>
      </c>
      <c r="J378" s="4" t="s">
        <v>1470</v>
      </c>
      <c r="K378" s="7">
        <v>6400</v>
      </c>
      <c r="L378" s="10">
        <v>110.05</v>
      </c>
      <c r="M378" s="5" t="s">
        <v>28</v>
      </c>
      <c r="N378" s="4">
        <v>82.5</v>
      </c>
      <c r="O378" s="13">
        <v>24.2</v>
      </c>
      <c r="P378" s="13">
        <v>60.7</v>
      </c>
      <c r="Q378" s="4">
        <v>67059887</v>
      </c>
    </row>
    <row r="379" spans="1:17" x14ac:dyDescent="0.3">
      <c r="A379" s="4">
        <v>397</v>
      </c>
      <c r="B379" s="4" t="s">
        <v>1472</v>
      </c>
      <c r="C379" s="4" t="s">
        <v>1473</v>
      </c>
      <c r="D379" s="4" t="s">
        <v>1474</v>
      </c>
      <c r="E379" s="4" t="s">
        <v>477</v>
      </c>
      <c r="F379" s="4" t="s">
        <v>48</v>
      </c>
      <c r="G379" s="4" t="b">
        <v>1</v>
      </c>
      <c r="H379" s="4" t="s">
        <v>25</v>
      </c>
      <c r="I379" s="4" t="s">
        <v>1476</v>
      </c>
      <c r="J379" s="4" t="s">
        <v>1475</v>
      </c>
      <c r="K379" s="7">
        <v>6400</v>
      </c>
      <c r="L379" s="10">
        <v>140.94999999999999</v>
      </c>
      <c r="M379" s="5" t="s">
        <v>1477</v>
      </c>
      <c r="N379" s="4">
        <v>77.099999999999994</v>
      </c>
      <c r="O379" s="13">
        <v>14.4</v>
      </c>
      <c r="P379" s="13">
        <v>71.2</v>
      </c>
      <c r="Q379" s="4">
        <v>50339443</v>
      </c>
    </row>
    <row r="380" spans="1:17" x14ac:dyDescent="0.3">
      <c r="A380" s="4">
        <v>397</v>
      </c>
      <c r="B380" s="4" t="s">
        <v>1478</v>
      </c>
      <c r="C380" s="4" t="s">
        <v>31</v>
      </c>
      <c r="D380" s="4" t="s">
        <v>1479</v>
      </c>
      <c r="E380" s="4" t="s">
        <v>1480</v>
      </c>
      <c r="F380" s="4" t="s">
        <v>167</v>
      </c>
      <c r="G380" s="4" t="b">
        <v>1</v>
      </c>
      <c r="H380" s="4" t="s">
        <v>25</v>
      </c>
      <c r="I380" s="4" t="s">
        <v>1482</v>
      </c>
      <c r="J380" s="4" t="s">
        <v>1481</v>
      </c>
      <c r="K380" s="7">
        <v>6400</v>
      </c>
      <c r="L380" s="10">
        <v>117.24</v>
      </c>
      <c r="M380" s="5" t="s">
        <v>36</v>
      </c>
      <c r="N380" s="4">
        <v>78.5</v>
      </c>
      <c r="O380" s="13">
        <v>9.6</v>
      </c>
      <c r="P380" s="13">
        <v>36.6</v>
      </c>
      <c r="Q380" s="4">
        <v>328239523</v>
      </c>
    </row>
    <row r="381" spans="1:17" x14ac:dyDescent="0.3">
      <c r="A381" s="4">
        <v>405</v>
      </c>
      <c r="B381" s="4" t="s">
        <v>1483</v>
      </c>
      <c r="C381" s="4" t="s">
        <v>225</v>
      </c>
      <c r="D381" s="4" t="s">
        <v>860</v>
      </c>
      <c r="E381" s="4" t="s">
        <v>1245</v>
      </c>
      <c r="F381" s="4" t="s">
        <v>579</v>
      </c>
      <c r="G381" s="4" t="b">
        <v>0</v>
      </c>
      <c r="H381" s="4" t="s">
        <v>25</v>
      </c>
      <c r="I381" s="4" t="s">
        <v>674</v>
      </c>
      <c r="J381" s="4" t="s">
        <v>1484</v>
      </c>
      <c r="K381" s="7">
        <v>6300</v>
      </c>
      <c r="L381" s="10">
        <v>119.62</v>
      </c>
      <c r="M381" s="5" t="s">
        <v>230</v>
      </c>
      <c r="N381" s="4">
        <v>81.3</v>
      </c>
      <c r="O381" s="13">
        <v>25.5</v>
      </c>
      <c r="P381" s="13">
        <v>30.6</v>
      </c>
      <c r="Q381" s="4">
        <v>66834405</v>
      </c>
    </row>
    <row r="382" spans="1:17" x14ac:dyDescent="0.3">
      <c r="A382" s="4">
        <v>405</v>
      </c>
      <c r="B382" s="4" t="s">
        <v>1485</v>
      </c>
      <c r="C382" s="4" t="s">
        <v>104</v>
      </c>
      <c r="D382" s="4" t="s">
        <v>902</v>
      </c>
      <c r="E382" s="4" t="s">
        <v>1486</v>
      </c>
      <c r="F382" s="4" t="s">
        <v>291</v>
      </c>
      <c r="G382" s="4" t="b">
        <v>1</v>
      </c>
      <c r="H382" s="4" t="s">
        <v>25</v>
      </c>
      <c r="I382" s="4" t="s">
        <v>1488</v>
      </c>
      <c r="J382" s="4" t="s">
        <v>1487</v>
      </c>
      <c r="K382" s="7">
        <v>6300</v>
      </c>
      <c r="L382" s="10">
        <v>125.08</v>
      </c>
      <c r="M382" s="5" t="s">
        <v>109</v>
      </c>
      <c r="N382" s="4">
        <v>77</v>
      </c>
      <c r="O382" s="13">
        <v>9.4</v>
      </c>
      <c r="P382" s="13">
        <v>59.2</v>
      </c>
      <c r="Q382" s="4">
        <v>1397715000</v>
      </c>
    </row>
    <row r="383" spans="1:17" x14ac:dyDescent="0.3">
      <c r="A383" s="4">
        <v>405</v>
      </c>
      <c r="B383" s="4" t="s">
        <v>1489</v>
      </c>
      <c r="C383" s="4" t="s">
        <v>225</v>
      </c>
      <c r="D383" s="4" t="s">
        <v>226</v>
      </c>
      <c r="E383" s="4" t="s">
        <v>801</v>
      </c>
      <c r="F383" s="4" t="s">
        <v>48</v>
      </c>
      <c r="G383" s="4" t="b">
        <v>1</v>
      </c>
      <c r="H383" s="4" t="s">
        <v>25</v>
      </c>
      <c r="I383" s="4" t="s">
        <v>189</v>
      </c>
      <c r="J383" s="4" t="s">
        <v>1490</v>
      </c>
      <c r="K383" s="7">
        <v>6300</v>
      </c>
      <c r="L383" s="10">
        <v>119.62</v>
      </c>
      <c r="M383" s="5" t="s">
        <v>230</v>
      </c>
      <c r="N383" s="4">
        <v>81.3</v>
      </c>
      <c r="O383" s="13">
        <v>25.5</v>
      </c>
      <c r="P383" s="13">
        <v>30.6</v>
      </c>
      <c r="Q383" s="4">
        <v>66834405</v>
      </c>
    </row>
    <row r="384" spans="1:17" x14ac:dyDescent="0.3">
      <c r="A384" s="4">
        <v>405</v>
      </c>
      <c r="B384" s="4" t="s">
        <v>1491</v>
      </c>
      <c r="C384" s="4" t="s">
        <v>22</v>
      </c>
      <c r="D384" s="4" t="s">
        <v>1492</v>
      </c>
      <c r="E384" s="4" t="s">
        <v>516</v>
      </c>
      <c r="F384" s="4" t="s">
        <v>350</v>
      </c>
      <c r="G384" s="4" t="b">
        <v>0</v>
      </c>
      <c r="H384" s="4" t="s">
        <v>25</v>
      </c>
      <c r="I384" s="4" t="s">
        <v>234</v>
      </c>
      <c r="J384" s="4" t="s">
        <v>1493</v>
      </c>
      <c r="K384" s="7">
        <v>6300</v>
      </c>
      <c r="L384" s="10">
        <v>110.05</v>
      </c>
      <c r="M384" s="5" t="s">
        <v>28</v>
      </c>
      <c r="N384" s="4">
        <v>82.5</v>
      </c>
      <c r="O384" s="13">
        <v>24.2</v>
      </c>
      <c r="P384" s="13">
        <v>60.7</v>
      </c>
      <c r="Q384" s="4">
        <v>67059887</v>
      </c>
    </row>
    <row r="385" spans="1:17" x14ac:dyDescent="0.3">
      <c r="A385" s="4">
        <v>405</v>
      </c>
      <c r="B385" s="4" t="s">
        <v>1494</v>
      </c>
      <c r="C385" s="4" t="s">
        <v>104</v>
      </c>
      <c r="D385" s="4" t="s">
        <v>1495</v>
      </c>
      <c r="E385" s="4" t="s">
        <v>1496</v>
      </c>
      <c r="F385" s="4" t="s">
        <v>291</v>
      </c>
      <c r="G385" s="4" t="b">
        <v>1</v>
      </c>
      <c r="H385" s="4" t="s">
        <v>25</v>
      </c>
      <c r="I385" s="4" t="s">
        <v>1497</v>
      </c>
      <c r="J385" s="4" t="s">
        <v>383</v>
      </c>
      <c r="K385" s="7">
        <v>6300</v>
      </c>
      <c r="L385" s="10">
        <v>125.08</v>
      </c>
      <c r="M385" s="5" t="s">
        <v>109</v>
      </c>
      <c r="N385" s="4">
        <v>77</v>
      </c>
      <c r="O385" s="13">
        <v>9.4</v>
      </c>
      <c r="P385" s="13">
        <v>59.2</v>
      </c>
      <c r="Q385" s="4">
        <v>1397715000</v>
      </c>
    </row>
    <row r="386" spans="1:17" x14ac:dyDescent="0.3">
      <c r="A386" s="4">
        <v>405</v>
      </c>
      <c r="B386" s="4" t="s">
        <v>1498</v>
      </c>
      <c r="C386" s="4" t="s">
        <v>664</v>
      </c>
      <c r="D386" s="4" t="s">
        <v>1499</v>
      </c>
      <c r="E386" s="4" t="s">
        <v>1500</v>
      </c>
      <c r="F386" s="4" t="s">
        <v>249</v>
      </c>
      <c r="G386" s="4" t="b">
        <v>1</v>
      </c>
      <c r="H386" s="4" t="s">
        <v>25</v>
      </c>
      <c r="I386" s="4" t="s">
        <v>1501</v>
      </c>
      <c r="J386" s="4" t="s">
        <v>233</v>
      </c>
      <c r="K386" s="7">
        <v>6300</v>
      </c>
      <c r="L386" s="10">
        <v>108.15</v>
      </c>
      <c r="M386" s="5" t="s">
        <v>670</v>
      </c>
      <c r="N386" s="4">
        <v>82.8</v>
      </c>
      <c r="O386" s="13">
        <v>23.1</v>
      </c>
      <c r="P386" s="13">
        <v>25.3</v>
      </c>
      <c r="Q386" s="4">
        <v>9053300</v>
      </c>
    </row>
    <row r="387" spans="1:17" x14ac:dyDescent="0.3">
      <c r="A387" s="4">
        <v>411</v>
      </c>
      <c r="B387" s="4" t="s">
        <v>1502</v>
      </c>
      <c r="C387" s="4" t="s">
        <v>66</v>
      </c>
      <c r="D387" s="4" t="s">
        <v>67</v>
      </c>
      <c r="E387" s="4" t="s">
        <v>1503</v>
      </c>
      <c r="F387" s="4" t="s">
        <v>102</v>
      </c>
      <c r="G387" s="4" t="b">
        <v>0</v>
      </c>
      <c r="H387" s="4" t="s">
        <v>84</v>
      </c>
      <c r="I387" s="4" t="s">
        <v>1505</v>
      </c>
      <c r="J387" s="4" t="s">
        <v>1504</v>
      </c>
      <c r="K387" s="7">
        <v>6200</v>
      </c>
      <c r="L387" s="10">
        <v>141.54</v>
      </c>
      <c r="M387" s="5" t="s">
        <v>70</v>
      </c>
      <c r="N387" s="4">
        <v>75</v>
      </c>
      <c r="O387" s="13">
        <v>13.1</v>
      </c>
      <c r="P387" s="13">
        <v>55.1</v>
      </c>
      <c r="Q387" s="4">
        <v>126014024</v>
      </c>
    </row>
    <row r="388" spans="1:17" x14ac:dyDescent="0.3">
      <c r="A388" s="4">
        <v>411</v>
      </c>
      <c r="B388" s="4" t="s">
        <v>1506</v>
      </c>
      <c r="C388" s="4" t="s">
        <v>496</v>
      </c>
      <c r="D388" s="4" t="s">
        <v>497</v>
      </c>
      <c r="E388" s="4" t="s">
        <v>263</v>
      </c>
      <c r="F388" s="4" t="s">
        <v>71</v>
      </c>
      <c r="G388" s="4" t="b">
        <v>1</v>
      </c>
      <c r="H388" s="4" t="s">
        <v>25</v>
      </c>
      <c r="I388" s="4" t="s">
        <v>1508</v>
      </c>
      <c r="J388" s="4" t="s">
        <v>1507</v>
      </c>
      <c r="K388" s="7">
        <v>6200</v>
      </c>
      <c r="L388" s="10">
        <v>110.51</v>
      </c>
      <c r="M388" s="5" t="s">
        <v>500</v>
      </c>
      <c r="N388" s="4">
        <v>82.5</v>
      </c>
      <c r="O388" s="13">
        <v>27.9</v>
      </c>
      <c r="P388" s="13">
        <v>49.1</v>
      </c>
      <c r="Q388" s="4">
        <v>10285453</v>
      </c>
    </row>
    <row r="389" spans="1:17" x14ac:dyDescent="0.3">
      <c r="A389" s="4">
        <v>411</v>
      </c>
      <c r="B389" s="4" t="s">
        <v>1509</v>
      </c>
      <c r="C389" s="4" t="s">
        <v>1510</v>
      </c>
      <c r="D389" s="4" t="s">
        <v>1511</v>
      </c>
      <c r="E389" s="4" t="s">
        <v>1512</v>
      </c>
      <c r="F389" s="4" t="s">
        <v>380</v>
      </c>
      <c r="G389" s="4" t="b">
        <v>1</v>
      </c>
      <c r="H389" s="4" t="s">
        <v>25</v>
      </c>
      <c r="I389" s="4" t="s">
        <v>1514</v>
      </c>
      <c r="J389" s="4" t="s">
        <v>1513</v>
      </c>
      <c r="K389" s="7">
        <v>6200</v>
      </c>
      <c r="L389" s="10">
        <v>115.91</v>
      </c>
      <c r="M389" s="5" t="s">
        <v>1515</v>
      </c>
      <c r="N389" s="4">
        <v>81.8</v>
      </c>
      <c r="O389" s="13">
        <v>23</v>
      </c>
      <c r="P389" s="13">
        <v>41.2</v>
      </c>
      <c r="Q389" s="4">
        <v>17332850</v>
      </c>
    </row>
    <row r="390" spans="1:17" x14ac:dyDescent="0.3">
      <c r="A390" s="4">
        <v>411</v>
      </c>
      <c r="B390" s="4" t="s">
        <v>1516</v>
      </c>
      <c r="C390" s="4" t="s">
        <v>104</v>
      </c>
      <c r="D390" s="4" t="s">
        <v>191</v>
      </c>
      <c r="E390" s="4" t="s">
        <v>1229</v>
      </c>
      <c r="F390" s="4" t="s">
        <v>102</v>
      </c>
      <c r="G390" s="4" t="b">
        <v>1</v>
      </c>
      <c r="H390" s="4" t="s">
        <v>25</v>
      </c>
      <c r="I390" s="4" t="s">
        <v>1517</v>
      </c>
      <c r="J390" s="4" t="s">
        <v>1385</v>
      </c>
      <c r="K390" s="7">
        <v>6200</v>
      </c>
      <c r="L390" s="10">
        <v>125.08</v>
      </c>
      <c r="M390" s="5" t="s">
        <v>109</v>
      </c>
      <c r="N390" s="4">
        <v>77</v>
      </c>
      <c r="O390" s="13">
        <v>9.4</v>
      </c>
      <c r="P390" s="13">
        <v>59.2</v>
      </c>
      <c r="Q390" s="4">
        <v>1397715000</v>
      </c>
    </row>
    <row r="391" spans="1:17" x14ac:dyDescent="0.3">
      <c r="A391" s="4">
        <v>411</v>
      </c>
      <c r="B391" s="4" t="s">
        <v>1518</v>
      </c>
      <c r="C391" s="4" t="s">
        <v>104</v>
      </c>
      <c r="D391" s="4" t="s">
        <v>826</v>
      </c>
      <c r="E391" s="4" t="s">
        <v>1519</v>
      </c>
      <c r="F391" s="4" t="s">
        <v>249</v>
      </c>
      <c r="G391" s="4" t="b">
        <v>1</v>
      </c>
      <c r="H391" s="4" t="s">
        <v>25</v>
      </c>
      <c r="I391" s="4" t="s">
        <v>904</v>
      </c>
      <c r="J391" s="4" t="s">
        <v>1520</v>
      </c>
      <c r="K391" s="7">
        <v>6200</v>
      </c>
      <c r="L391" s="10">
        <v>125.08</v>
      </c>
      <c r="M391" s="5" t="s">
        <v>109</v>
      </c>
      <c r="N391" s="4">
        <v>77</v>
      </c>
      <c r="O391" s="13">
        <v>9.4</v>
      </c>
      <c r="P391" s="13">
        <v>59.2</v>
      </c>
      <c r="Q391" s="4">
        <v>1397715000</v>
      </c>
    </row>
    <row r="392" spans="1:17" x14ac:dyDescent="0.3">
      <c r="A392" s="4">
        <v>411</v>
      </c>
      <c r="B392" s="4" t="s">
        <v>1521</v>
      </c>
      <c r="C392" s="4" t="s">
        <v>104</v>
      </c>
      <c r="D392" s="4" t="s">
        <v>826</v>
      </c>
      <c r="E392" s="4" t="s">
        <v>1522</v>
      </c>
      <c r="F392" s="4" t="s">
        <v>249</v>
      </c>
      <c r="G392" s="4" t="b">
        <v>1</v>
      </c>
      <c r="H392" s="4" t="s">
        <v>25</v>
      </c>
      <c r="I392" s="4" t="s">
        <v>1523</v>
      </c>
      <c r="J392" s="4" t="s">
        <v>1520</v>
      </c>
      <c r="K392" s="7">
        <v>6200</v>
      </c>
      <c r="L392" s="10">
        <v>125.08</v>
      </c>
      <c r="M392" s="5" t="s">
        <v>109</v>
      </c>
      <c r="N392" s="4">
        <v>77</v>
      </c>
      <c r="O392" s="13">
        <v>9.4</v>
      </c>
      <c r="P392" s="13">
        <v>59.2</v>
      </c>
      <c r="Q392" s="4">
        <v>1397715000</v>
      </c>
    </row>
    <row r="393" spans="1:17" x14ac:dyDescent="0.3">
      <c r="A393" s="4">
        <v>411</v>
      </c>
      <c r="B393" s="4" t="s">
        <v>1524</v>
      </c>
      <c r="C393" s="4" t="s">
        <v>1525</v>
      </c>
      <c r="D393" s="4" t="s">
        <v>1526</v>
      </c>
      <c r="E393" s="4" t="s">
        <v>263</v>
      </c>
      <c r="F393" s="4" t="s">
        <v>48</v>
      </c>
      <c r="G393" s="4" t="b">
        <v>1</v>
      </c>
      <c r="H393" s="4" t="s">
        <v>25</v>
      </c>
      <c r="I393" s="4" t="s">
        <v>1528</v>
      </c>
      <c r="J393" s="4" t="s">
        <v>1527</v>
      </c>
      <c r="K393" s="7">
        <v>6200</v>
      </c>
      <c r="L393" s="10">
        <v>114.11</v>
      </c>
      <c r="M393" s="5" t="s">
        <v>1529</v>
      </c>
      <c r="N393" s="4">
        <v>77.599999999999994</v>
      </c>
      <c r="O393" s="13">
        <v>17.399999999999999</v>
      </c>
      <c r="P393" s="13">
        <v>40.799999999999997</v>
      </c>
      <c r="Q393" s="4">
        <v>37970874</v>
      </c>
    </row>
    <row r="394" spans="1:17" x14ac:dyDescent="0.3">
      <c r="A394" s="4">
        <v>418</v>
      </c>
      <c r="B394" s="4" t="s">
        <v>1530</v>
      </c>
      <c r="C394" s="4" t="s">
        <v>564</v>
      </c>
      <c r="D394" s="4" t="s">
        <v>565</v>
      </c>
      <c r="E394" s="4" t="s">
        <v>1531</v>
      </c>
      <c r="F394" s="4" t="s">
        <v>71</v>
      </c>
      <c r="G394" s="4" t="b">
        <v>1</v>
      </c>
      <c r="H394" s="4" t="s">
        <v>25</v>
      </c>
      <c r="I394" s="4" t="s">
        <v>732</v>
      </c>
      <c r="J394" s="4" t="s">
        <v>1532</v>
      </c>
      <c r="K394" s="7">
        <v>6100</v>
      </c>
      <c r="L394" s="10">
        <v>267.51</v>
      </c>
      <c r="M394" s="5" t="s">
        <v>569</v>
      </c>
      <c r="N394" s="4">
        <v>54.3</v>
      </c>
      <c r="O394" s="13">
        <v>1.5</v>
      </c>
      <c r="P394" s="13">
        <v>34.799999999999997</v>
      </c>
      <c r="Q394" s="4">
        <v>200963599</v>
      </c>
    </row>
    <row r="395" spans="1:17" x14ac:dyDescent="0.3">
      <c r="A395" s="4">
        <v>418</v>
      </c>
      <c r="B395" s="4" t="s">
        <v>1533</v>
      </c>
      <c r="C395" s="4" t="s">
        <v>31</v>
      </c>
      <c r="D395" s="4" t="s">
        <v>885</v>
      </c>
      <c r="E395" s="4" t="s">
        <v>801</v>
      </c>
      <c r="F395" s="4" t="s">
        <v>48</v>
      </c>
      <c r="G395" s="4" t="b">
        <v>1</v>
      </c>
      <c r="H395" s="4" t="s">
        <v>25</v>
      </c>
      <c r="I395" s="4" t="s">
        <v>1535</v>
      </c>
      <c r="J395" s="4" t="s">
        <v>1534</v>
      </c>
      <c r="K395" s="7">
        <v>6100</v>
      </c>
      <c r="L395" s="10">
        <v>117.24</v>
      </c>
      <c r="M395" s="5" t="s">
        <v>36</v>
      </c>
      <c r="N395" s="4">
        <v>78.5</v>
      </c>
      <c r="O395" s="13">
        <v>9.6</v>
      </c>
      <c r="P395" s="13">
        <v>36.6</v>
      </c>
      <c r="Q395" s="4">
        <v>328239523</v>
      </c>
    </row>
    <row r="396" spans="1:17" x14ac:dyDescent="0.3">
      <c r="A396" s="4">
        <v>418</v>
      </c>
      <c r="B396" s="4" t="s">
        <v>1536</v>
      </c>
      <c r="C396" s="4" t="s">
        <v>157</v>
      </c>
      <c r="D396" s="4" t="s">
        <v>895</v>
      </c>
      <c r="E396" s="4" t="s">
        <v>1537</v>
      </c>
      <c r="F396" s="4" t="s">
        <v>20</v>
      </c>
      <c r="G396" s="4" t="b">
        <v>0</v>
      </c>
      <c r="H396" s="4" t="s">
        <v>25</v>
      </c>
      <c r="I396" s="4" t="s">
        <v>63</v>
      </c>
      <c r="J396" s="4" t="s">
        <v>1538</v>
      </c>
      <c r="K396" s="7">
        <v>6100</v>
      </c>
      <c r="L396" s="10">
        <v>112.85</v>
      </c>
      <c r="M396" s="5" t="s">
        <v>162</v>
      </c>
      <c r="N396" s="4">
        <v>80.900000000000006</v>
      </c>
      <c r="O396" s="13">
        <v>11.5</v>
      </c>
      <c r="P396" s="13">
        <v>48.8</v>
      </c>
      <c r="Q396" s="4">
        <v>83132799</v>
      </c>
    </row>
    <row r="397" spans="1:17" x14ac:dyDescent="0.3">
      <c r="A397" s="4">
        <v>418</v>
      </c>
      <c r="B397" s="4" t="s">
        <v>1539</v>
      </c>
      <c r="C397" s="4" t="s">
        <v>157</v>
      </c>
      <c r="D397" s="4" t="s">
        <v>895</v>
      </c>
      <c r="E397" s="4" t="s">
        <v>1537</v>
      </c>
      <c r="F397" s="4" t="s">
        <v>20</v>
      </c>
      <c r="G397" s="4" t="b">
        <v>0</v>
      </c>
      <c r="H397" s="4" t="s">
        <v>25</v>
      </c>
      <c r="I397" s="4" t="s">
        <v>1540</v>
      </c>
      <c r="J397" s="4" t="s">
        <v>1538</v>
      </c>
      <c r="K397" s="7">
        <v>6100</v>
      </c>
      <c r="L397" s="10">
        <v>112.85</v>
      </c>
      <c r="M397" s="5" t="s">
        <v>162</v>
      </c>
      <c r="N397" s="4">
        <v>80.900000000000006</v>
      </c>
      <c r="O397" s="13">
        <v>11.5</v>
      </c>
      <c r="P397" s="13">
        <v>48.8</v>
      </c>
      <c r="Q397" s="4">
        <v>83132799</v>
      </c>
    </row>
    <row r="398" spans="1:17" x14ac:dyDescent="0.3">
      <c r="A398" s="4">
        <v>425</v>
      </c>
      <c r="B398" s="4" t="s">
        <v>1541</v>
      </c>
      <c r="C398" s="4" t="s">
        <v>326</v>
      </c>
      <c r="D398" s="4" t="s">
        <v>327</v>
      </c>
      <c r="E398" s="4" t="s">
        <v>1542</v>
      </c>
      <c r="F398" s="4" t="s">
        <v>271</v>
      </c>
      <c r="G398" s="4" t="b">
        <v>1</v>
      </c>
      <c r="H398" s="4" t="s">
        <v>25</v>
      </c>
      <c r="I398" s="4" t="s">
        <v>897</v>
      </c>
      <c r="J398" s="4" t="s">
        <v>1543</v>
      </c>
      <c r="K398" s="7">
        <v>6000</v>
      </c>
      <c r="L398" s="10">
        <v>180.75</v>
      </c>
      <c r="M398" s="5" t="s">
        <v>331</v>
      </c>
      <c r="N398" s="4">
        <v>72.7</v>
      </c>
      <c r="O398" s="13">
        <v>11.4</v>
      </c>
      <c r="P398" s="13">
        <v>46.2</v>
      </c>
      <c r="Q398" s="4">
        <v>144373535</v>
      </c>
    </row>
    <row r="399" spans="1:17" x14ac:dyDescent="0.3">
      <c r="A399" s="4">
        <v>425</v>
      </c>
      <c r="B399" s="4" t="s">
        <v>1544</v>
      </c>
      <c r="C399" s="4" t="s">
        <v>31</v>
      </c>
      <c r="D399" s="4" t="s">
        <v>378</v>
      </c>
      <c r="E399" s="4" t="s">
        <v>464</v>
      </c>
      <c r="F399" s="4" t="s">
        <v>461</v>
      </c>
      <c r="G399" s="4" t="b">
        <v>1</v>
      </c>
      <c r="H399" s="4" t="s">
        <v>25</v>
      </c>
      <c r="I399" s="4" t="s">
        <v>1546</v>
      </c>
      <c r="J399" s="4" t="s">
        <v>1545</v>
      </c>
      <c r="K399" s="7">
        <v>6000</v>
      </c>
      <c r="L399" s="10">
        <v>117.24</v>
      </c>
      <c r="M399" s="5" t="s">
        <v>36</v>
      </c>
      <c r="N399" s="4">
        <v>78.5</v>
      </c>
      <c r="O399" s="13">
        <v>9.6</v>
      </c>
      <c r="P399" s="13">
        <v>36.6</v>
      </c>
      <c r="Q399" s="4">
        <v>328239523</v>
      </c>
    </row>
    <row r="400" spans="1:17" x14ac:dyDescent="0.3">
      <c r="A400" s="4">
        <v>425</v>
      </c>
      <c r="B400" s="4" t="s">
        <v>1547</v>
      </c>
      <c r="C400" s="4" t="s">
        <v>132</v>
      </c>
      <c r="D400" s="4" t="s">
        <v>1548</v>
      </c>
      <c r="E400" s="4" t="s">
        <v>1549</v>
      </c>
      <c r="F400" s="4" t="s">
        <v>20</v>
      </c>
      <c r="G400" s="4" t="b">
        <v>1</v>
      </c>
      <c r="H400" s="4" t="s">
        <v>25</v>
      </c>
      <c r="I400" s="4" t="s">
        <v>234</v>
      </c>
      <c r="J400" s="4" t="s">
        <v>1550</v>
      </c>
      <c r="K400" s="7">
        <v>6000</v>
      </c>
      <c r="L400" s="10">
        <v>116.76</v>
      </c>
      <c r="M400" s="5" t="s">
        <v>137</v>
      </c>
      <c r="N400" s="4">
        <v>81.900000000000006</v>
      </c>
      <c r="O400" s="13">
        <v>12.8</v>
      </c>
      <c r="P400" s="13">
        <v>24.5</v>
      </c>
      <c r="Q400" s="4">
        <v>36991981</v>
      </c>
    </row>
    <row r="401" spans="1:17" x14ac:dyDescent="0.3">
      <c r="A401" s="4">
        <v>425</v>
      </c>
      <c r="B401" s="4" t="s">
        <v>1551</v>
      </c>
      <c r="C401" s="4" t="s">
        <v>31</v>
      </c>
      <c r="D401" s="4" t="s">
        <v>1552</v>
      </c>
      <c r="E401" s="4" t="s">
        <v>1553</v>
      </c>
      <c r="F401" s="4" t="s">
        <v>37</v>
      </c>
      <c r="G401" s="4" t="b">
        <v>1</v>
      </c>
      <c r="H401" s="4" t="s">
        <v>25</v>
      </c>
      <c r="I401" s="4" t="s">
        <v>1555</v>
      </c>
      <c r="J401" s="4" t="s">
        <v>1554</v>
      </c>
      <c r="K401" s="7">
        <v>6000</v>
      </c>
      <c r="L401" s="10">
        <v>117.24</v>
      </c>
      <c r="M401" s="5" t="s">
        <v>36</v>
      </c>
      <c r="N401" s="4">
        <v>78.5</v>
      </c>
      <c r="O401" s="13">
        <v>9.6</v>
      </c>
      <c r="P401" s="13">
        <v>36.6</v>
      </c>
      <c r="Q401" s="4">
        <v>328239523</v>
      </c>
    </row>
    <row r="402" spans="1:17" x14ac:dyDescent="0.3">
      <c r="A402" s="4">
        <v>425</v>
      </c>
      <c r="B402" s="4" t="s">
        <v>1556</v>
      </c>
      <c r="C402" s="4" t="s">
        <v>73</v>
      </c>
      <c r="D402" s="4" t="s">
        <v>74</v>
      </c>
      <c r="E402" s="4" t="s">
        <v>525</v>
      </c>
      <c r="F402" s="4" t="s">
        <v>20</v>
      </c>
      <c r="G402" s="4" t="b">
        <v>1</v>
      </c>
      <c r="H402" s="4" t="s">
        <v>25</v>
      </c>
      <c r="I402" s="4" t="s">
        <v>1557</v>
      </c>
      <c r="J402" s="4" t="s">
        <v>526</v>
      </c>
      <c r="K402" s="7">
        <v>6000</v>
      </c>
      <c r="L402" s="10">
        <v>180.44</v>
      </c>
      <c r="M402" s="5" t="s">
        <v>77</v>
      </c>
      <c r="N402" s="4">
        <v>69.400000000000006</v>
      </c>
      <c r="O402" s="13">
        <v>11.2</v>
      </c>
      <c r="P402" s="13">
        <v>49.7</v>
      </c>
      <c r="Q402" s="4">
        <v>1366417754</v>
      </c>
    </row>
    <row r="403" spans="1:17" x14ac:dyDescent="0.3">
      <c r="A403" s="4">
        <v>425</v>
      </c>
      <c r="B403" s="4" t="s">
        <v>1558</v>
      </c>
      <c r="C403" s="4" t="s">
        <v>531</v>
      </c>
      <c r="D403" s="4" t="s">
        <v>532</v>
      </c>
      <c r="E403" s="4" t="s">
        <v>71</v>
      </c>
      <c r="F403" s="4" t="s">
        <v>71</v>
      </c>
      <c r="G403" s="4" t="b">
        <v>0</v>
      </c>
      <c r="H403" s="4" t="s">
        <v>25</v>
      </c>
      <c r="I403" s="4" t="s">
        <v>1560</v>
      </c>
      <c r="J403" s="4" t="s">
        <v>1559</v>
      </c>
      <c r="K403" s="7">
        <v>6000</v>
      </c>
      <c r="L403" s="10">
        <v>113.27</v>
      </c>
      <c r="M403" s="5" t="s">
        <v>535</v>
      </c>
      <c r="N403" s="4">
        <v>76.900000000000006</v>
      </c>
      <c r="O403" s="13">
        <v>14.9</v>
      </c>
      <c r="P403" s="13">
        <v>29.5</v>
      </c>
      <c r="Q403" s="4">
        <v>69625582</v>
      </c>
    </row>
    <row r="404" spans="1:17" x14ac:dyDescent="0.3">
      <c r="A404" s="4">
        <v>425</v>
      </c>
      <c r="B404" s="4" t="s">
        <v>1561</v>
      </c>
      <c r="C404" s="4" t="s">
        <v>664</v>
      </c>
      <c r="D404" s="4" t="s">
        <v>1499</v>
      </c>
      <c r="E404" s="4" t="s">
        <v>263</v>
      </c>
      <c r="F404" s="4" t="s">
        <v>48</v>
      </c>
      <c r="G404" s="4" t="b">
        <v>1</v>
      </c>
      <c r="H404" s="4" t="s">
        <v>25</v>
      </c>
      <c r="I404" s="4" t="s">
        <v>1563</v>
      </c>
      <c r="J404" s="4" t="s">
        <v>1562</v>
      </c>
      <c r="K404" s="7">
        <v>6000</v>
      </c>
      <c r="L404" s="10">
        <v>108.15</v>
      </c>
      <c r="M404" s="5" t="s">
        <v>670</v>
      </c>
      <c r="N404" s="4">
        <v>82.8</v>
      </c>
      <c r="O404" s="13">
        <v>23.1</v>
      </c>
      <c r="P404" s="13">
        <v>25.3</v>
      </c>
      <c r="Q404" s="4">
        <v>9053300</v>
      </c>
    </row>
    <row r="405" spans="1:17" x14ac:dyDescent="0.3">
      <c r="A405" s="4">
        <v>425</v>
      </c>
      <c r="B405" s="4" t="s">
        <v>1564</v>
      </c>
      <c r="C405" s="4" t="s">
        <v>31</v>
      </c>
      <c r="D405" s="4" t="s">
        <v>830</v>
      </c>
      <c r="E405" s="4" t="s">
        <v>263</v>
      </c>
      <c r="F405" s="4" t="s">
        <v>48</v>
      </c>
      <c r="G405" s="4" t="b">
        <v>1</v>
      </c>
      <c r="H405" s="4" t="s">
        <v>25</v>
      </c>
      <c r="I405" s="4" t="s">
        <v>63</v>
      </c>
      <c r="J405" s="4" t="s">
        <v>1565</v>
      </c>
      <c r="K405" s="7">
        <v>6000</v>
      </c>
      <c r="L405" s="10">
        <v>117.24</v>
      </c>
      <c r="M405" s="5" t="s">
        <v>36</v>
      </c>
      <c r="N405" s="4">
        <v>78.5</v>
      </c>
      <c r="O405" s="13">
        <v>9.6</v>
      </c>
      <c r="P405" s="13">
        <v>36.6</v>
      </c>
      <c r="Q405" s="4">
        <v>328239523</v>
      </c>
    </row>
    <row r="406" spans="1:17" x14ac:dyDescent="0.3">
      <c r="A406" s="4">
        <v>425</v>
      </c>
      <c r="B406" s="4" t="s">
        <v>1566</v>
      </c>
      <c r="C406" s="4" t="s">
        <v>31</v>
      </c>
      <c r="D406" s="4" t="s">
        <v>1298</v>
      </c>
      <c r="E406" s="4" t="s">
        <v>1567</v>
      </c>
      <c r="F406" s="4" t="s">
        <v>37</v>
      </c>
      <c r="G406" s="4" t="b">
        <v>1</v>
      </c>
      <c r="H406" s="4" t="s">
        <v>25</v>
      </c>
      <c r="I406" s="4" t="s">
        <v>136</v>
      </c>
      <c r="J406" s="4" t="s">
        <v>1568</v>
      </c>
      <c r="K406" s="7">
        <v>6000</v>
      </c>
      <c r="L406" s="10">
        <v>117.24</v>
      </c>
      <c r="M406" s="5" t="s">
        <v>36</v>
      </c>
      <c r="N406" s="4">
        <v>78.5</v>
      </c>
      <c r="O406" s="13">
        <v>9.6</v>
      </c>
      <c r="P406" s="13">
        <v>36.6</v>
      </c>
      <c r="Q406" s="4">
        <v>328239523</v>
      </c>
    </row>
    <row r="407" spans="1:17" x14ac:dyDescent="0.3">
      <c r="A407" s="4">
        <v>425</v>
      </c>
      <c r="B407" s="4" t="s">
        <v>1569</v>
      </c>
      <c r="C407" s="4" t="s">
        <v>31</v>
      </c>
      <c r="D407" s="4" t="s">
        <v>1570</v>
      </c>
      <c r="E407" s="4" t="s">
        <v>159</v>
      </c>
      <c r="F407" s="4" t="s">
        <v>20</v>
      </c>
      <c r="G407" s="4" t="b">
        <v>1</v>
      </c>
      <c r="H407" s="4" t="s">
        <v>25</v>
      </c>
      <c r="I407" s="4" t="s">
        <v>1572</v>
      </c>
      <c r="J407" s="4" t="s">
        <v>1571</v>
      </c>
      <c r="K407" s="7">
        <v>6000</v>
      </c>
      <c r="L407" s="10">
        <v>117.24</v>
      </c>
      <c r="M407" s="5" t="s">
        <v>36</v>
      </c>
      <c r="N407" s="4">
        <v>78.5</v>
      </c>
      <c r="O407" s="13">
        <v>9.6</v>
      </c>
      <c r="P407" s="13">
        <v>36.6</v>
      </c>
      <c r="Q407" s="4">
        <v>328239523</v>
      </c>
    </row>
    <row r="408" spans="1:17" x14ac:dyDescent="0.3">
      <c r="A408" s="4">
        <v>437</v>
      </c>
      <c r="B408" s="4" t="s">
        <v>1573</v>
      </c>
      <c r="C408" s="4" t="s">
        <v>104</v>
      </c>
      <c r="D408" s="4" t="s">
        <v>654</v>
      </c>
      <c r="E408" s="4" t="s">
        <v>464</v>
      </c>
      <c r="F408" s="4" t="s">
        <v>461</v>
      </c>
      <c r="G408" s="4" t="b">
        <v>1</v>
      </c>
      <c r="H408" s="4" t="s">
        <v>25</v>
      </c>
      <c r="I408" s="4" t="s">
        <v>1575</v>
      </c>
      <c r="J408" s="4" t="s">
        <v>1574</v>
      </c>
      <c r="K408" s="7">
        <v>5900</v>
      </c>
      <c r="L408" s="10">
        <v>125.08</v>
      </c>
      <c r="M408" s="5" t="s">
        <v>109</v>
      </c>
      <c r="N408" s="4">
        <v>77</v>
      </c>
      <c r="O408" s="13">
        <v>9.4</v>
      </c>
      <c r="P408" s="13">
        <v>59.2</v>
      </c>
      <c r="Q408" s="4">
        <v>1397715000</v>
      </c>
    </row>
    <row r="409" spans="1:17" x14ac:dyDescent="0.3">
      <c r="A409" s="4">
        <v>437</v>
      </c>
      <c r="B409" s="4" t="s">
        <v>1576</v>
      </c>
      <c r="C409" s="4" t="s">
        <v>531</v>
      </c>
      <c r="D409" s="4" t="s">
        <v>532</v>
      </c>
      <c r="E409" s="4" t="s">
        <v>71</v>
      </c>
      <c r="F409" s="4" t="s">
        <v>71</v>
      </c>
      <c r="G409" s="4" t="b">
        <v>0</v>
      </c>
      <c r="H409" s="4" t="s">
        <v>25</v>
      </c>
      <c r="I409" s="4" t="s">
        <v>1578</v>
      </c>
      <c r="J409" s="4" t="s">
        <v>1577</v>
      </c>
      <c r="K409" s="7">
        <v>5900</v>
      </c>
      <c r="L409" s="10">
        <v>113.27</v>
      </c>
      <c r="M409" s="5" t="s">
        <v>535</v>
      </c>
      <c r="N409" s="4">
        <v>76.900000000000006</v>
      </c>
      <c r="O409" s="13">
        <v>14.9</v>
      </c>
      <c r="P409" s="13">
        <v>29.5</v>
      </c>
      <c r="Q409" s="4">
        <v>69625582</v>
      </c>
    </row>
    <row r="410" spans="1:17" x14ac:dyDescent="0.3">
      <c r="A410" s="4">
        <v>437</v>
      </c>
      <c r="B410" s="4" t="s">
        <v>1579</v>
      </c>
      <c r="C410" s="4" t="s">
        <v>31</v>
      </c>
      <c r="D410" s="4" t="s">
        <v>1580</v>
      </c>
      <c r="E410" s="4" t="s">
        <v>203</v>
      </c>
      <c r="F410" s="4" t="s">
        <v>48</v>
      </c>
      <c r="G410" s="4" t="b">
        <v>1</v>
      </c>
      <c r="H410" s="4" t="s">
        <v>25</v>
      </c>
      <c r="I410" s="4" t="s">
        <v>651</v>
      </c>
      <c r="J410" s="4" t="s">
        <v>1581</v>
      </c>
      <c r="K410" s="7">
        <v>5900</v>
      </c>
      <c r="L410" s="10">
        <v>117.24</v>
      </c>
      <c r="M410" s="5" t="s">
        <v>36</v>
      </c>
      <c r="N410" s="4">
        <v>78.5</v>
      </c>
      <c r="O410" s="13">
        <v>9.6</v>
      </c>
      <c r="P410" s="13">
        <v>36.6</v>
      </c>
      <c r="Q410" s="4">
        <v>328239523</v>
      </c>
    </row>
    <row r="411" spans="1:17" x14ac:dyDescent="0.3">
      <c r="A411" s="4">
        <v>437</v>
      </c>
      <c r="B411" s="4" t="s">
        <v>1582</v>
      </c>
      <c r="C411" s="4" t="s">
        <v>31</v>
      </c>
      <c r="D411" s="4" t="s">
        <v>830</v>
      </c>
      <c r="E411" s="4" t="s">
        <v>1583</v>
      </c>
      <c r="F411" s="4" t="s">
        <v>48</v>
      </c>
      <c r="G411" s="4" t="b">
        <v>1</v>
      </c>
      <c r="H411" s="4" t="s">
        <v>25</v>
      </c>
      <c r="I411" s="4" t="s">
        <v>1585</v>
      </c>
      <c r="J411" s="4" t="s">
        <v>1584</v>
      </c>
      <c r="K411" s="7">
        <v>5900</v>
      </c>
      <c r="L411" s="10">
        <v>117.24</v>
      </c>
      <c r="M411" s="5" t="s">
        <v>36</v>
      </c>
      <c r="N411" s="4">
        <v>78.5</v>
      </c>
      <c r="O411" s="13">
        <v>9.6</v>
      </c>
      <c r="P411" s="13">
        <v>36.6</v>
      </c>
      <c r="Q411" s="4">
        <v>328239523</v>
      </c>
    </row>
    <row r="412" spans="1:17" x14ac:dyDescent="0.3">
      <c r="A412" s="4">
        <v>437</v>
      </c>
      <c r="B412" s="4" t="s">
        <v>1586</v>
      </c>
      <c r="C412" s="4" t="s">
        <v>104</v>
      </c>
      <c r="D412" s="4" t="s">
        <v>245</v>
      </c>
      <c r="E412" s="4" t="s">
        <v>1587</v>
      </c>
      <c r="F412" s="4" t="s">
        <v>102</v>
      </c>
      <c r="G412" s="4" t="b">
        <v>0</v>
      </c>
      <c r="H412" s="4" t="s">
        <v>25</v>
      </c>
      <c r="I412" s="4" t="s">
        <v>1589</v>
      </c>
      <c r="J412" s="4" t="s">
        <v>1588</v>
      </c>
      <c r="K412" s="7">
        <v>5900</v>
      </c>
      <c r="L412" s="10">
        <v>125.08</v>
      </c>
      <c r="M412" s="5" t="s">
        <v>109</v>
      </c>
      <c r="N412" s="4">
        <v>77</v>
      </c>
      <c r="O412" s="13">
        <v>9.4</v>
      </c>
      <c r="P412" s="13">
        <v>59.2</v>
      </c>
      <c r="Q412" s="4">
        <v>1397715000</v>
      </c>
    </row>
    <row r="413" spans="1:17" x14ac:dyDescent="0.3">
      <c r="A413" s="4">
        <v>442</v>
      </c>
      <c r="B413" s="4" t="s">
        <v>1590</v>
      </c>
      <c r="C413" s="4" t="s">
        <v>31</v>
      </c>
      <c r="D413" s="4" t="s">
        <v>202</v>
      </c>
      <c r="E413" s="4" t="s">
        <v>801</v>
      </c>
      <c r="F413" s="4" t="s">
        <v>48</v>
      </c>
      <c r="G413" s="4" t="b">
        <v>1</v>
      </c>
      <c r="H413" s="4" t="s">
        <v>25</v>
      </c>
      <c r="I413" s="4" t="s">
        <v>1592</v>
      </c>
      <c r="J413" s="4" t="s">
        <v>1591</v>
      </c>
      <c r="K413" s="7">
        <v>5800</v>
      </c>
      <c r="L413" s="10">
        <v>117.24</v>
      </c>
      <c r="M413" s="5" t="s">
        <v>36</v>
      </c>
      <c r="N413" s="4">
        <v>78.5</v>
      </c>
      <c r="O413" s="13">
        <v>9.6</v>
      </c>
      <c r="P413" s="13">
        <v>36.6</v>
      </c>
      <c r="Q413" s="4">
        <v>328239523</v>
      </c>
    </row>
    <row r="414" spans="1:17" x14ac:dyDescent="0.3">
      <c r="A414" s="4">
        <v>442</v>
      </c>
      <c r="B414" s="4" t="s">
        <v>1593</v>
      </c>
      <c r="C414" s="4" t="s">
        <v>1194</v>
      </c>
      <c r="D414" s="4" t="s">
        <v>1594</v>
      </c>
      <c r="E414" s="4" t="s">
        <v>547</v>
      </c>
      <c r="F414" s="4" t="s">
        <v>350</v>
      </c>
      <c r="G414" s="4" t="b">
        <v>0</v>
      </c>
      <c r="H414" s="4" t="s">
        <v>25</v>
      </c>
      <c r="I414" s="4" t="s">
        <v>1596</v>
      </c>
      <c r="J414" s="4" t="s">
        <v>1595</v>
      </c>
      <c r="K414" s="7">
        <v>5800</v>
      </c>
      <c r="L414" s="10">
        <v>110.35</v>
      </c>
      <c r="M414" s="5" t="s">
        <v>1198</v>
      </c>
      <c r="N414" s="4">
        <v>81</v>
      </c>
      <c r="O414" s="13">
        <v>32.4</v>
      </c>
      <c r="P414" s="13">
        <v>23.8</v>
      </c>
      <c r="Q414" s="4">
        <v>5818553</v>
      </c>
    </row>
    <row r="415" spans="1:17" x14ac:dyDescent="0.3">
      <c r="A415" s="4">
        <v>442</v>
      </c>
      <c r="B415" s="4" t="s">
        <v>1597</v>
      </c>
      <c r="C415" s="4" t="s">
        <v>31</v>
      </c>
      <c r="D415" s="4" t="s">
        <v>830</v>
      </c>
      <c r="E415" s="4" t="s">
        <v>516</v>
      </c>
      <c r="F415" s="4" t="s">
        <v>350</v>
      </c>
      <c r="G415" s="4" t="b">
        <v>1</v>
      </c>
      <c r="H415" s="4" t="s">
        <v>25</v>
      </c>
      <c r="I415" s="4" t="s">
        <v>1048</v>
      </c>
      <c r="J415" s="4" t="s">
        <v>1598</v>
      </c>
      <c r="K415" s="7">
        <v>5800</v>
      </c>
      <c r="L415" s="10">
        <v>117.24</v>
      </c>
      <c r="M415" s="5" t="s">
        <v>36</v>
      </c>
      <c r="N415" s="4">
        <v>78.5</v>
      </c>
      <c r="O415" s="13">
        <v>9.6</v>
      </c>
      <c r="P415" s="13">
        <v>36.6</v>
      </c>
      <c r="Q415" s="4">
        <v>328239523</v>
      </c>
    </row>
    <row r="416" spans="1:17" x14ac:dyDescent="0.3">
      <c r="A416" s="4">
        <v>445</v>
      </c>
      <c r="B416" s="4" t="s">
        <v>1599</v>
      </c>
      <c r="C416" s="4" t="s">
        <v>1600</v>
      </c>
      <c r="D416" s="4" t="s">
        <v>1601</v>
      </c>
      <c r="E416" s="4" t="s">
        <v>1602</v>
      </c>
      <c r="F416" s="4" t="s">
        <v>271</v>
      </c>
      <c r="G416" s="4" t="b">
        <v>1</v>
      </c>
      <c r="H416" s="4" t="s">
        <v>25</v>
      </c>
      <c r="I416" s="4" t="s">
        <v>1604</v>
      </c>
      <c r="J416" s="4" t="s">
        <v>1603</v>
      </c>
      <c r="K416" s="7">
        <v>5700</v>
      </c>
      <c r="L416" s="10">
        <v>281.66000000000003</v>
      </c>
      <c r="M416" s="5" t="s">
        <v>1605</v>
      </c>
      <c r="N416" s="4">
        <v>71.599999999999994</v>
      </c>
      <c r="O416" s="13">
        <v>20.100000000000001</v>
      </c>
      <c r="P416" s="13">
        <v>45.2</v>
      </c>
      <c r="Q416" s="4">
        <v>44385155</v>
      </c>
    </row>
    <row r="417" spans="1:17" x14ac:dyDescent="0.3">
      <c r="A417" s="4">
        <v>445</v>
      </c>
      <c r="B417" s="4" t="s">
        <v>1606</v>
      </c>
      <c r="C417" s="4" t="s">
        <v>31</v>
      </c>
      <c r="D417" s="4" t="s">
        <v>983</v>
      </c>
      <c r="E417" s="4" t="s">
        <v>1318</v>
      </c>
      <c r="F417" s="4" t="s">
        <v>350</v>
      </c>
      <c r="G417" s="4" t="b">
        <v>1</v>
      </c>
      <c r="H417" s="4" t="s">
        <v>25</v>
      </c>
      <c r="I417" s="4" t="s">
        <v>189</v>
      </c>
      <c r="J417" s="4" t="s">
        <v>1607</v>
      </c>
      <c r="K417" s="7">
        <v>5700</v>
      </c>
      <c r="L417" s="10">
        <v>117.24</v>
      </c>
      <c r="M417" s="5" t="s">
        <v>36</v>
      </c>
      <c r="N417" s="4">
        <v>78.5</v>
      </c>
      <c r="O417" s="13">
        <v>9.6</v>
      </c>
      <c r="P417" s="13">
        <v>36.6</v>
      </c>
      <c r="Q417" s="4">
        <v>328239523</v>
      </c>
    </row>
    <row r="418" spans="1:17" x14ac:dyDescent="0.3">
      <c r="A418" s="4">
        <v>445</v>
      </c>
      <c r="B418" s="4" t="s">
        <v>1608</v>
      </c>
      <c r="C418" s="4" t="s">
        <v>132</v>
      </c>
      <c r="D418" s="4" t="s">
        <v>1609</v>
      </c>
      <c r="E418" s="4" t="s">
        <v>402</v>
      </c>
      <c r="F418" s="4" t="s">
        <v>291</v>
      </c>
      <c r="G418" s="4" t="b">
        <v>0</v>
      </c>
      <c r="H418" s="4" t="s">
        <v>25</v>
      </c>
      <c r="I418" s="4" t="s">
        <v>1144</v>
      </c>
      <c r="J418" s="4" t="s">
        <v>1610</v>
      </c>
      <c r="K418" s="7">
        <v>5700</v>
      </c>
      <c r="L418" s="10">
        <v>116.76</v>
      </c>
      <c r="M418" s="5" t="s">
        <v>137</v>
      </c>
      <c r="N418" s="4">
        <v>81.900000000000006</v>
      </c>
      <c r="O418" s="13">
        <v>12.8</v>
      </c>
      <c r="P418" s="13">
        <v>24.5</v>
      </c>
      <c r="Q418" s="4">
        <v>36991981</v>
      </c>
    </row>
    <row r="419" spans="1:17" x14ac:dyDescent="0.3">
      <c r="A419" s="4">
        <v>445</v>
      </c>
      <c r="B419" s="4" t="s">
        <v>1611</v>
      </c>
      <c r="C419" s="4" t="s">
        <v>496</v>
      </c>
      <c r="D419" s="4" t="s">
        <v>497</v>
      </c>
      <c r="E419" s="4" t="s">
        <v>1210</v>
      </c>
      <c r="F419" s="4" t="s">
        <v>461</v>
      </c>
      <c r="G419" s="4" t="b">
        <v>0</v>
      </c>
      <c r="H419" s="4" t="s">
        <v>25</v>
      </c>
      <c r="I419" s="4" t="s">
        <v>1613</v>
      </c>
      <c r="J419" s="4" t="s">
        <v>1612</v>
      </c>
      <c r="K419" s="7">
        <v>5700</v>
      </c>
      <c r="L419" s="10">
        <v>110.51</v>
      </c>
      <c r="M419" s="5" t="s">
        <v>500</v>
      </c>
      <c r="N419" s="4">
        <v>82.5</v>
      </c>
      <c r="O419" s="13">
        <v>27.9</v>
      </c>
      <c r="P419" s="13">
        <v>49.1</v>
      </c>
      <c r="Q419" s="4">
        <v>10285453</v>
      </c>
    </row>
    <row r="420" spans="1:17" x14ac:dyDescent="0.3">
      <c r="A420" s="4">
        <v>445</v>
      </c>
      <c r="B420" s="4" t="s">
        <v>1614</v>
      </c>
      <c r="C420" s="4" t="s">
        <v>169</v>
      </c>
      <c r="D420" s="4" t="s">
        <v>1615</v>
      </c>
      <c r="E420" s="4" t="s">
        <v>1186</v>
      </c>
      <c r="F420" s="4" t="s">
        <v>579</v>
      </c>
      <c r="G420" s="4" t="b">
        <v>0</v>
      </c>
      <c r="H420" s="4" t="s">
        <v>25</v>
      </c>
      <c r="I420" s="4" t="s">
        <v>303</v>
      </c>
      <c r="J420" s="4" t="s">
        <v>1616</v>
      </c>
      <c r="K420" s="7">
        <v>5700</v>
      </c>
      <c r="L420" s="10">
        <v>99.55</v>
      </c>
      <c r="M420" s="5" t="s">
        <v>174</v>
      </c>
      <c r="N420" s="4">
        <v>83.6</v>
      </c>
      <c r="O420" s="13">
        <v>10.1</v>
      </c>
      <c r="P420" s="13">
        <v>28.8</v>
      </c>
      <c r="Q420" s="4">
        <v>8574832</v>
      </c>
    </row>
    <row r="421" spans="1:17" x14ac:dyDescent="0.3">
      <c r="A421" s="4">
        <v>445</v>
      </c>
      <c r="B421" s="4" t="s">
        <v>1617</v>
      </c>
      <c r="C421" s="4" t="s">
        <v>31</v>
      </c>
      <c r="D421" s="4" t="s">
        <v>60</v>
      </c>
      <c r="E421" s="4" t="s">
        <v>263</v>
      </c>
      <c r="F421" s="4" t="s">
        <v>48</v>
      </c>
      <c r="G421" s="4" t="b">
        <v>0</v>
      </c>
      <c r="H421" s="4" t="s">
        <v>25</v>
      </c>
      <c r="I421" s="4" t="s">
        <v>446</v>
      </c>
      <c r="J421" s="4" t="s">
        <v>1618</v>
      </c>
      <c r="K421" s="7">
        <v>5700</v>
      </c>
      <c r="L421" s="10">
        <v>117.24</v>
      </c>
      <c r="M421" s="5" t="s">
        <v>36</v>
      </c>
      <c r="N421" s="4">
        <v>78.5</v>
      </c>
      <c r="O421" s="13">
        <v>9.6</v>
      </c>
      <c r="P421" s="13">
        <v>36.6</v>
      </c>
      <c r="Q421" s="4">
        <v>328239523</v>
      </c>
    </row>
    <row r="422" spans="1:17" x14ac:dyDescent="0.3">
      <c r="A422" s="4">
        <v>445</v>
      </c>
      <c r="B422" s="4" t="s">
        <v>1619</v>
      </c>
      <c r="C422" s="4" t="s">
        <v>31</v>
      </c>
      <c r="D422" s="4" t="s">
        <v>1620</v>
      </c>
      <c r="E422" s="4" t="s">
        <v>263</v>
      </c>
      <c r="F422" s="4" t="s">
        <v>48</v>
      </c>
      <c r="G422" s="4" t="b">
        <v>0</v>
      </c>
      <c r="H422" s="4" t="s">
        <v>25</v>
      </c>
      <c r="I422" s="4" t="s">
        <v>1621</v>
      </c>
      <c r="J422" s="4" t="s">
        <v>1618</v>
      </c>
      <c r="K422" s="7">
        <v>5700</v>
      </c>
      <c r="L422" s="10">
        <v>117.24</v>
      </c>
      <c r="M422" s="5" t="s">
        <v>36</v>
      </c>
      <c r="N422" s="4">
        <v>78.5</v>
      </c>
      <c r="O422" s="13">
        <v>9.6</v>
      </c>
      <c r="P422" s="13">
        <v>36.6</v>
      </c>
      <c r="Q422" s="4">
        <v>328239523</v>
      </c>
    </row>
    <row r="423" spans="1:17" x14ac:dyDescent="0.3">
      <c r="A423" s="4">
        <v>445</v>
      </c>
      <c r="B423" s="4" t="s">
        <v>1622</v>
      </c>
      <c r="C423" s="4" t="s">
        <v>31</v>
      </c>
      <c r="D423" s="4" t="s">
        <v>60</v>
      </c>
      <c r="E423" s="4" t="s">
        <v>263</v>
      </c>
      <c r="F423" s="4" t="s">
        <v>48</v>
      </c>
      <c r="G423" s="4" t="b">
        <v>0</v>
      </c>
      <c r="H423" s="4" t="s">
        <v>25</v>
      </c>
      <c r="I423" s="4" t="s">
        <v>523</v>
      </c>
      <c r="J423" s="4" t="s">
        <v>1618</v>
      </c>
      <c r="K423" s="7">
        <v>5700</v>
      </c>
      <c r="L423" s="10">
        <v>117.24</v>
      </c>
      <c r="M423" s="5" t="s">
        <v>36</v>
      </c>
      <c r="N423" s="4">
        <v>78.5</v>
      </c>
      <c r="O423" s="13">
        <v>9.6</v>
      </c>
      <c r="P423" s="13">
        <v>36.6</v>
      </c>
      <c r="Q423" s="4">
        <v>328239523</v>
      </c>
    </row>
    <row r="424" spans="1:17" x14ac:dyDescent="0.3">
      <c r="A424" s="4">
        <v>455</v>
      </c>
      <c r="B424" s="4" t="s">
        <v>1623</v>
      </c>
      <c r="C424" s="4" t="s">
        <v>31</v>
      </c>
      <c r="D424" s="4" t="s">
        <v>591</v>
      </c>
      <c r="E424" s="4" t="s">
        <v>1624</v>
      </c>
      <c r="F424" s="4" t="s">
        <v>291</v>
      </c>
      <c r="G424" s="4" t="b">
        <v>0</v>
      </c>
      <c r="H424" s="4" t="s">
        <v>25</v>
      </c>
      <c r="I424" s="4" t="s">
        <v>1626</v>
      </c>
      <c r="J424" s="4" t="s">
        <v>1625</v>
      </c>
      <c r="K424" s="7">
        <v>5600</v>
      </c>
      <c r="L424" s="10">
        <v>117.24</v>
      </c>
      <c r="M424" s="5" t="s">
        <v>36</v>
      </c>
      <c r="N424" s="4">
        <v>78.5</v>
      </c>
      <c r="O424" s="13">
        <v>9.6</v>
      </c>
      <c r="P424" s="13">
        <v>36.6</v>
      </c>
      <c r="Q424" s="4">
        <v>328239523</v>
      </c>
    </row>
    <row r="425" spans="1:17" x14ac:dyDescent="0.3">
      <c r="A425" s="4">
        <v>455</v>
      </c>
      <c r="B425" s="4" t="s">
        <v>1627</v>
      </c>
      <c r="C425" s="4" t="s">
        <v>104</v>
      </c>
      <c r="D425" s="4" t="s">
        <v>245</v>
      </c>
      <c r="E425" s="4" t="s">
        <v>382</v>
      </c>
      <c r="F425" s="4" t="s">
        <v>167</v>
      </c>
      <c r="G425" s="4" t="b">
        <v>1</v>
      </c>
      <c r="H425" s="4" t="s">
        <v>25</v>
      </c>
      <c r="I425" s="4" t="s">
        <v>1629</v>
      </c>
      <c r="J425" s="4" t="s">
        <v>1628</v>
      </c>
      <c r="K425" s="7">
        <v>5600</v>
      </c>
      <c r="L425" s="10">
        <v>125.08</v>
      </c>
      <c r="M425" s="5" t="s">
        <v>109</v>
      </c>
      <c r="N425" s="4">
        <v>77</v>
      </c>
      <c r="O425" s="13">
        <v>9.4</v>
      </c>
      <c r="P425" s="13">
        <v>59.2</v>
      </c>
      <c r="Q425" s="4">
        <v>1397715000</v>
      </c>
    </row>
    <row r="426" spans="1:17" x14ac:dyDescent="0.3">
      <c r="A426" s="4">
        <v>455</v>
      </c>
      <c r="B426" s="4" t="s">
        <v>1630</v>
      </c>
      <c r="C426" s="4" t="s">
        <v>73</v>
      </c>
      <c r="D426" s="4" t="s">
        <v>287</v>
      </c>
      <c r="E426" s="4" t="s">
        <v>1631</v>
      </c>
      <c r="F426" s="4" t="s">
        <v>29</v>
      </c>
      <c r="G426" s="4" t="b">
        <v>0</v>
      </c>
      <c r="H426" s="4" t="s">
        <v>25</v>
      </c>
      <c r="I426" s="4" t="s">
        <v>1633</v>
      </c>
      <c r="J426" s="4" t="s">
        <v>1632</v>
      </c>
      <c r="K426" s="7">
        <v>5600</v>
      </c>
      <c r="L426" s="10">
        <v>180.44</v>
      </c>
      <c r="M426" s="5" t="s">
        <v>77</v>
      </c>
      <c r="N426" s="4">
        <v>69.400000000000006</v>
      </c>
      <c r="O426" s="13">
        <v>11.2</v>
      </c>
      <c r="P426" s="13">
        <v>49.7</v>
      </c>
      <c r="Q426" s="4">
        <v>1366417754</v>
      </c>
    </row>
    <row r="427" spans="1:17" x14ac:dyDescent="0.3">
      <c r="A427" s="4">
        <v>455</v>
      </c>
      <c r="B427" s="4" t="s">
        <v>1634</v>
      </c>
      <c r="C427" s="4" t="s">
        <v>31</v>
      </c>
      <c r="D427" s="4" t="s">
        <v>1635</v>
      </c>
      <c r="E427" s="4" t="s">
        <v>263</v>
      </c>
      <c r="F427" s="4" t="s">
        <v>48</v>
      </c>
      <c r="G427" s="4" t="b">
        <v>1</v>
      </c>
      <c r="H427" s="4" t="s">
        <v>25</v>
      </c>
      <c r="I427" s="4" t="s">
        <v>205</v>
      </c>
      <c r="J427" s="4" t="s">
        <v>1636</v>
      </c>
      <c r="K427" s="7">
        <v>5600</v>
      </c>
      <c r="L427" s="10">
        <v>117.24</v>
      </c>
      <c r="M427" s="5" t="s">
        <v>36</v>
      </c>
      <c r="N427" s="4">
        <v>78.5</v>
      </c>
      <c r="O427" s="13">
        <v>9.6</v>
      </c>
      <c r="P427" s="13">
        <v>36.6</v>
      </c>
      <c r="Q427" s="4">
        <v>328239523</v>
      </c>
    </row>
    <row r="428" spans="1:17" x14ac:dyDescent="0.3">
      <c r="A428" s="4">
        <v>455</v>
      </c>
      <c r="B428" s="4" t="s">
        <v>1637</v>
      </c>
      <c r="C428" s="4" t="s">
        <v>104</v>
      </c>
      <c r="D428" s="4" t="s">
        <v>245</v>
      </c>
      <c r="E428" s="4" t="s">
        <v>1638</v>
      </c>
      <c r="F428" s="4" t="s">
        <v>350</v>
      </c>
      <c r="G428" s="4" t="b">
        <v>1</v>
      </c>
      <c r="H428" s="4" t="s">
        <v>25</v>
      </c>
      <c r="I428" s="4" t="s">
        <v>1639</v>
      </c>
      <c r="J428" s="4" t="s">
        <v>418</v>
      </c>
      <c r="K428" s="7">
        <v>5600</v>
      </c>
      <c r="L428" s="10">
        <v>125.08</v>
      </c>
      <c r="M428" s="5" t="s">
        <v>109</v>
      </c>
      <c r="N428" s="4">
        <v>77</v>
      </c>
      <c r="O428" s="13">
        <v>9.4</v>
      </c>
      <c r="P428" s="13">
        <v>59.2</v>
      </c>
      <c r="Q428" s="4">
        <v>1397715000</v>
      </c>
    </row>
    <row r="429" spans="1:17" x14ac:dyDescent="0.3">
      <c r="A429" s="4">
        <v>455</v>
      </c>
      <c r="B429" s="4" t="s">
        <v>1640</v>
      </c>
      <c r="C429" s="4" t="s">
        <v>31</v>
      </c>
      <c r="D429" s="4" t="s">
        <v>1641</v>
      </c>
      <c r="E429" s="4" t="s">
        <v>1642</v>
      </c>
      <c r="F429" s="4" t="s">
        <v>48</v>
      </c>
      <c r="G429" s="4" t="b">
        <v>0</v>
      </c>
      <c r="H429" s="4" t="s">
        <v>84</v>
      </c>
      <c r="I429" s="4" t="s">
        <v>1644</v>
      </c>
      <c r="J429" s="4" t="s">
        <v>1643</v>
      </c>
      <c r="K429" s="7">
        <v>5600</v>
      </c>
      <c r="L429" s="10">
        <v>117.24</v>
      </c>
      <c r="M429" s="5" t="s">
        <v>36</v>
      </c>
      <c r="N429" s="4">
        <v>78.5</v>
      </c>
      <c r="O429" s="13">
        <v>9.6</v>
      </c>
      <c r="P429" s="13">
        <v>36.6</v>
      </c>
      <c r="Q429" s="4">
        <v>328239523</v>
      </c>
    </row>
    <row r="430" spans="1:17" x14ac:dyDescent="0.3">
      <c r="A430" s="4">
        <v>455</v>
      </c>
      <c r="B430" s="4" t="s">
        <v>1645</v>
      </c>
      <c r="C430" s="4" t="s">
        <v>31</v>
      </c>
      <c r="D430" s="4" t="s">
        <v>591</v>
      </c>
      <c r="E430" s="4" t="s">
        <v>1642</v>
      </c>
      <c r="F430" s="4" t="s">
        <v>380</v>
      </c>
      <c r="G430" s="4" t="b">
        <v>0</v>
      </c>
      <c r="H430" s="4" t="s">
        <v>25</v>
      </c>
      <c r="I430" s="4" t="s">
        <v>523</v>
      </c>
      <c r="J430" s="4" t="s">
        <v>1646</v>
      </c>
      <c r="K430" s="7">
        <v>5600</v>
      </c>
      <c r="L430" s="10">
        <v>117.24</v>
      </c>
      <c r="M430" s="5" t="s">
        <v>36</v>
      </c>
      <c r="N430" s="4">
        <v>78.5</v>
      </c>
      <c r="O430" s="13">
        <v>9.6</v>
      </c>
      <c r="P430" s="13">
        <v>36.6</v>
      </c>
      <c r="Q430" s="4">
        <v>328239523</v>
      </c>
    </row>
    <row r="431" spans="1:17" x14ac:dyDescent="0.3">
      <c r="A431" s="4">
        <v>455</v>
      </c>
      <c r="B431" s="4" t="s">
        <v>1647</v>
      </c>
      <c r="C431" s="4" t="s">
        <v>664</v>
      </c>
      <c r="D431" s="4" t="s">
        <v>1499</v>
      </c>
      <c r="E431" s="4" t="s">
        <v>1648</v>
      </c>
      <c r="F431" s="4" t="s">
        <v>195</v>
      </c>
      <c r="G431" s="4" t="b">
        <v>1</v>
      </c>
      <c r="H431" s="4" t="s">
        <v>25</v>
      </c>
      <c r="I431" s="4" t="s">
        <v>1650</v>
      </c>
      <c r="J431" s="4" t="s">
        <v>1649</v>
      </c>
      <c r="K431" s="7">
        <v>5600</v>
      </c>
      <c r="L431" s="10">
        <v>108.15</v>
      </c>
      <c r="M431" s="5" t="s">
        <v>670</v>
      </c>
      <c r="N431" s="4">
        <v>82.8</v>
      </c>
      <c r="O431" s="13">
        <v>23.1</v>
      </c>
      <c r="P431" s="13">
        <v>25.3</v>
      </c>
      <c r="Q431" s="4">
        <v>9053300</v>
      </c>
    </row>
    <row r="432" spans="1:17" x14ac:dyDescent="0.3">
      <c r="A432" s="4">
        <v>455</v>
      </c>
      <c r="B432" s="4" t="s">
        <v>1651</v>
      </c>
      <c r="C432" s="4" t="s">
        <v>799</v>
      </c>
      <c r="D432" s="4" t="s">
        <v>800</v>
      </c>
      <c r="E432" s="4" t="s">
        <v>1652</v>
      </c>
      <c r="F432" s="4" t="s">
        <v>350</v>
      </c>
      <c r="G432" s="4" t="b">
        <v>1</v>
      </c>
      <c r="H432" s="4" t="s">
        <v>25</v>
      </c>
      <c r="I432" s="4" t="s">
        <v>1654</v>
      </c>
      <c r="J432" s="4" t="s">
        <v>1653</v>
      </c>
      <c r="K432" s="7">
        <v>5600</v>
      </c>
      <c r="L432" s="10">
        <v>115.16</v>
      </c>
      <c r="M432" s="5" t="s">
        <v>803</v>
      </c>
      <c r="N432" s="4">
        <v>82.6</v>
      </c>
      <c r="O432" s="13">
        <v>15.6</v>
      </c>
      <c r="P432" s="13">
        <v>33.200000000000003</v>
      </c>
      <c r="Q432" s="4">
        <v>51709098</v>
      </c>
    </row>
    <row r="433" spans="1:17" x14ac:dyDescent="0.3">
      <c r="A433" s="4">
        <v>455</v>
      </c>
      <c r="B433" s="4" t="s">
        <v>1655</v>
      </c>
      <c r="C433" s="4" t="s">
        <v>104</v>
      </c>
      <c r="D433" s="4" t="s">
        <v>826</v>
      </c>
      <c r="E433" s="4" t="s">
        <v>634</v>
      </c>
      <c r="F433" s="4" t="s">
        <v>29</v>
      </c>
      <c r="G433" s="4" t="b">
        <v>1</v>
      </c>
      <c r="H433" s="4" t="s">
        <v>25</v>
      </c>
      <c r="I433" s="4" t="s">
        <v>1656</v>
      </c>
      <c r="J433" s="4" t="s">
        <v>767</v>
      </c>
      <c r="K433" s="7">
        <v>5600</v>
      </c>
      <c r="L433" s="10">
        <v>125.08</v>
      </c>
      <c r="M433" s="5" t="s">
        <v>109</v>
      </c>
      <c r="N433" s="4">
        <v>77</v>
      </c>
      <c r="O433" s="13">
        <v>9.4</v>
      </c>
      <c r="P433" s="13">
        <v>59.2</v>
      </c>
      <c r="Q433" s="4">
        <v>1397715000</v>
      </c>
    </row>
    <row r="434" spans="1:17" x14ac:dyDescent="0.3">
      <c r="A434" s="4">
        <v>466</v>
      </c>
      <c r="B434" s="4" t="s">
        <v>1657</v>
      </c>
      <c r="C434" s="4" t="s">
        <v>31</v>
      </c>
      <c r="D434" s="4" t="s">
        <v>1658</v>
      </c>
      <c r="E434" s="4" t="s">
        <v>1659</v>
      </c>
      <c r="F434" s="4" t="s">
        <v>380</v>
      </c>
      <c r="G434" s="4" t="b">
        <v>0</v>
      </c>
      <c r="H434" s="4" t="s">
        <v>25</v>
      </c>
      <c r="I434" s="4" t="s">
        <v>1661</v>
      </c>
      <c r="J434" s="4" t="s">
        <v>1660</v>
      </c>
      <c r="K434" s="7">
        <v>5500</v>
      </c>
      <c r="L434" s="10">
        <v>117.24</v>
      </c>
      <c r="M434" s="5" t="s">
        <v>36</v>
      </c>
      <c r="N434" s="4">
        <v>78.5</v>
      </c>
      <c r="O434" s="13">
        <v>9.6</v>
      </c>
      <c r="P434" s="13">
        <v>36.6</v>
      </c>
      <c r="Q434" s="4">
        <v>328239523</v>
      </c>
    </row>
    <row r="435" spans="1:17" x14ac:dyDescent="0.3">
      <c r="A435" s="4">
        <v>466</v>
      </c>
      <c r="B435" s="4" t="s">
        <v>1662</v>
      </c>
      <c r="C435" s="4" t="s">
        <v>31</v>
      </c>
      <c r="D435" s="4" t="s">
        <v>1663</v>
      </c>
      <c r="E435" s="4" t="s">
        <v>984</v>
      </c>
      <c r="F435" s="4" t="s">
        <v>58</v>
      </c>
      <c r="G435" s="4" t="b">
        <v>0</v>
      </c>
      <c r="H435" s="4" t="s">
        <v>25</v>
      </c>
      <c r="I435" s="4" t="s">
        <v>349</v>
      </c>
      <c r="J435" s="4" t="s">
        <v>1664</v>
      </c>
      <c r="K435" s="7">
        <v>5500</v>
      </c>
      <c r="L435" s="10">
        <v>117.24</v>
      </c>
      <c r="M435" s="5" t="s">
        <v>36</v>
      </c>
      <c r="N435" s="4">
        <v>78.5</v>
      </c>
      <c r="O435" s="13">
        <v>9.6</v>
      </c>
      <c r="P435" s="13">
        <v>36.6</v>
      </c>
      <c r="Q435" s="4">
        <v>328239523</v>
      </c>
    </row>
    <row r="436" spans="1:17" x14ac:dyDescent="0.3">
      <c r="A436" s="4">
        <v>466</v>
      </c>
      <c r="B436" s="4" t="s">
        <v>1665</v>
      </c>
      <c r="C436" s="4" t="s">
        <v>31</v>
      </c>
      <c r="D436" s="4" t="s">
        <v>855</v>
      </c>
      <c r="E436" s="4" t="s">
        <v>1666</v>
      </c>
      <c r="F436" s="4" t="s">
        <v>37</v>
      </c>
      <c r="G436" s="4" t="b">
        <v>1</v>
      </c>
      <c r="H436" s="4" t="s">
        <v>25</v>
      </c>
      <c r="I436" s="4" t="s">
        <v>189</v>
      </c>
      <c r="J436" s="4" t="s">
        <v>1667</v>
      </c>
      <c r="K436" s="7">
        <v>5500</v>
      </c>
      <c r="L436" s="10">
        <v>117.24</v>
      </c>
      <c r="M436" s="5" t="s">
        <v>36</v>
      </c>
      <c r="N436" s="4">
        <v>78.5</v>
      </c>
      <c r="O436" s="13">
        <v>9.6</v>
      </c>
      <c r="P436" s="13">
        <v>36.6</v>
      </c>
      <c r="Q436" s="4">
        <v>328239523</v>
      </c>
    </row>
    <row r="437" spans="1:17" x14ac:dyDescent="0.3">
      <c r="A437" s="4">
        <v>466</v>
      </c>
      <c r="B437" s="4" t="s">
        <v>1668</v>
      </c>
      <c r="C437" s="4" t="s">
        <v>31</v>
      </c>
      <c r="D437" s="4" t="s">
        <v>855</v>
      </c>
      <c r="E437" s="4" t="s">
        <v>1669</v>
      </c>
      <c r="F437" s="4" t="s">
        <v>37</v>
      </c>
      <c r="G437" s="4" t="b">
        <v>1</v>
      </c>
      <c r="H437" s="4" t="s">
        <v>25</v>
      </c>
      <c r="I437" s="4" t="s">
        <v>1048</v>
      </c>
      <c r="J437" s="4" t="s">
        <v>1667</v>
      </c>
      <c r="K437" s="7">
        <v>5500</v>
      </c>
      <c r="L437" s="10">
        <v>117.24</v>
      </c>
      <c r="M437" s="5" t="s">
        <v>36</v>
      </c>
      <c r="N437" s="4">
        <v>78.5</v>
      </c>
      <c r="O437" s="13">
        <v>9.6</v>
      </c>
      <c r="P437" s="13">
        <v>36.6</v>
      </c>
      <c r="Q437" s="4">
        <v>328239523</v>
      </c>
    </row>
    <row r="438" spans="1:17" x14ac:dyDescent="0.3">
      <c r="A438" s="4">
        <v>466</v>
      </c>
      <c r="B438" s="4" t="s">
        <v>1670</v>
      </c>
      <c r="C438" s="4" t="s">
        <v>31</v>
      </c>
      <c r="D438" s="4" t="s">
        <v>1671</v>
      </c>
      <c r="E438" s="4" t="s">
        <v>1672</v>
      </c>
      <c r="F438" s="4" t="s">
        <v>249</v>
      </c>
      <c r="G438" s="4" t="b">
        <v>1</v>
      </c>
      <c r="H438" s="4" t="s">
        <v>25</v>
      </c>
      <c r="I438" s="4" t="s">
        <v>1674</v>
      </c>
      <c r="J438" s="4" t="s">
        <v>1673</v>
      </c>
      <c r="K438" s="7">
        <v>5500</v>
      </c>
      <c r="L438" s="10">
        <v>117.24</v>
      </c>
      <c r="M438" s="5" t="s">
        <v>36</v>
      </c>
      <c r="N438" s="4">
        <v>78.5</v>
      </c>
      <c r="O438" s="13">
        <v>9.6</v>
      </c>
      <c r="P438" s="13">
        <v>36.6</v>
      </c>
      <c r="Q438" s="4">
        <v>328239523</v>
      </c>
    </row>
    <row r="439" spans="1:17" x14ac:dyDescent="0.3">
      <c r="A439" s="4">
        <v>466</v>
      </c>
      <c r="B439" s="4" t="s">
        <v>1675</v>
      </c>
      <c r="C439" s="4" t="s">
        <v>679</v>
      </c>
      <c r="D439" s="4" t="s">
        <v>1676</v>
      </c>
      <c r="E439" s="4" t="s">
        <v>417</v>
      </c>
      <c r="F439" s="4" t="s">
        <v>29</v>
      </c>
      <c r="G439" s="4" t="b">
        <v>0</v>
      </c>
      <c r="H439" s="4" t="s">
        <v>25</v>
      </c>
      <c r="I439" s="4" t="s">
        <v>1678</v>
      </c>
      <c r="J439" s="4" t="s">
        <v>1677</v>
      </c>
      <c r="K439" s="7">
        <v>5500</v>
      </c>
      <c r="L439" s="10">
        <v>110.62</v>
      </c>
      <c r="M439" s="5" t="s">
        <v>683</v>
      </c>
      <c r="N439" s="4">
        <v>82.9</v>
      </c>
      <c r="O439" s="13">
        <v>24.3</v>
      </c>
      <c r="P439" s="13">
        <v>59.1</v>
      </c>
      <c r="Q439" s="4">
        <v>60297396</v>
      </c>
    </row>
    <row r="440" spans="1:17" x14ac:dyDescent="0.3">
      <c r="A440" s="4">
        <v>466</v>
      </c>
      <c r="B440" s="4" t="s">
        <v>1679</v>
      </c>
      <c r="C440" s="4" t="s">
        <v>31</v>
      </c>
      <c r="D440" s="4" t="s">
        <v>741</v>
      </c>
      <c r="E440" s="4" t="s">
        <v>1680</v>
      </c>
      <c r="F440" s="4" t="s">
        <v>29</v>
      </c>
      <c r="G440" s="4" t="b">
        <v>0</v>
      </c>
      <c r="H440" s="4" t="s">
        <v>25</v>
      </c>
      <c r="I440" s="4" t="s">
        <v>1427</v>
      </c>
      <c r="J440" s="4" t="s">
        <v>1681</v>
      </c>
      <c r="K440" s="7">
        <v>5500</v>
      </c>
      <c r="L440" s="10">
        <v>117.24</v>
      </c>
      <c r="M440" s="5" t="s">
        <v>36</v>
      </c>
      <c r="N440" s="4">
        <v>78.5</v>
      </c>
      <c r="O440" s="13">
        <v>9.6</v>
      </c>
      <c r="P440" s="13">
        <v>36.6</v>
      </c>
      <c r="Q440" s="4">
        <v>328239523</v>
      </c>
    </row>
    <row r="441" spans="1:17" x14ac:dyDescent="0.3">
      <c r="A441" s="4">
        <v>466</v>
      </c>
      <c r="B441" s="4" t="s">
        <v>1682</v>
      </c>
      <c r="C441" s="4" t="s">
        <v>132</v>
      </c>
      <c r="D441" s="4" t="s">
        <v>1609</v>
      </c>
      <c r="E441" s="4" t="s">
        <v>71</v>
      </c>
      <c r="F441" s="4" t="s">
        <v>71</v>
      </c>
      <c r="G441" s="4" t="b">
        <v>0</v>
      </c>
      <c r="H441" s="4" t="s">
        <v>25</v>
      </c>
      <c r="I441" s="4" t="s">
        <v>349</v>
      </c>
      <c r="J441" s="4" t="s">
        <v>1610</v>
      </c>
      <c r="K441" s="7">
        <v>5500</v>
      </c>
      <c r="L441" s="10">
        <v>116.76</v>
      </c>
      <c r="M441" s="5" t="s">
        <v>137</v>
      </c>
      <c r="N441" s="4">
        <v>81.900000000000006</v>
      </c>
      <c r="O441" s="13">
        <v>12.8</v>
      </c>
      <c r="P441" s="13">
        <v>24.5</v>
      </c>
      <c r="Q441" s="4">
        <v>36991981</v>
      </c>
    </row>
    <row r="442" spans="1:17" x14ac:dyDescent="0.3">
      <c r="A442" s="4">
        <v>466</v>
      </c>
      <c r="B442" s="4" t="s">
        <v>1683</v>
      </c>
      <c r="C442" s="4" t="s">
        <v>104</v>
      </c>
      <c r="D442" s="4" t="s">
        <v>654</v>
      </c>
      <c r="E442" s="4" t="s">
        <v>347</v>
      </c>
      <c r="F442" s="4" t="s">
        <v>249</v>
      </c>
      <c r="G442" s="4" t="b">
        <v>1</v>
      </c>
      <c r="H442" s="4" t="s">
        <v>25</v>
      </c>
      <c r="I442" s="4" t="s">
        <v>1684</v>
      </c>
      <c r="J442" s="4" t="s">
        <v>630</v>
      </c>
      <c r="K442" s="7">
        <v>5500</v>
      </c>
      <c r="L442" s="10">
        <v>125.08</v>
      </c>
      <c r="M442" s="5" t="s">
        <v>109</v>
      </c>
      <c r="N442" s="4">
        <v>77</v>
      </c>
      <c r="O442" s="13">
        <v>9.4</v>
      </c>
      <c r="P442" s="13">
        <v>59.2</v>
      </c>
      <c r="Q442" s="4">
        <v>1397715000</v>
      </c>
    </row>
    <row r="443" spans="1:17" x14ac:dyDescent="0.3">
      <c r="A443" s="4">
        <v>466</v>
      </c>
      <c r="B443" s="4" t="s">
        <v>1685</v>
      </c>
      <c r="C443" s="4" t="s">
        <v>157</v>
      </c>
      <c r="D443" s="4" t="s">
        <v>958</v>
      </c>
      <c r="E443" s="4" t="s">
        <v>516</v>
      </c>
      <c r="F443" s="4" t="s">
        <v>350</v>
      </c>
      <c r="G443" s="4" t="b">
        <v>1</v>
      </c>
      <c r="H443" s="4" t="s">
        <v>25</v>
      </c>
      <c r="I443" s="4" t="s">
        <v>1540</v>
      </c>
      <c r="J443" s="4" t="s">
        <v>1686</v>
      </c>
      <c r="K443" s="7">
        <v>5500</v>
      </c>
      <c r="L443" s="10">
        <v>112.85</v>
      </c>
      <c r="M443" s="5" t="s">
        <v>162</v>
      </c>
      <c r="N443" s="4">
        <v>80.900000000000006</v>
      </c>
      <c r="O443" s="13">
        <v>11.5</v>
      </c>
      <c r="P443" s="13">
        <v>48.8</v>
      </c>
      <c r="Q443" s="4">
        <v>83132799</v>
      </c>
    </row>
    <row r="444" spans="1:17" x14ac:dyDescent="0.3">
      <c r="A444" s="4">
        <v>466</v>
      </c>
      <c r="B444" s="4" t="s">
        <v>1687</v>
      </c>
      <c r="C444" s="4" t="s">
        <v>157</v>
      </c>
      <c r="D444" s="4" t="s">
        <v>1688</v>
      </c>
      <c r="E444" s="4" t="s">
        <v>516</v>
      </c>
      <c r="F444" s="4" t="s">
        <v>48</v>
      </c>
      <c r="G444" s="4" t="b">
        <v>0</v>
      </c>
      <c r="H444" s="4" t="s">
        <v>25</v>
      </c>
      <c r="I444" s="4" t="s">
        <v>1690</v>
      </c>
      <c r="J444" s="4" t="s">
        <v>1689</v>
      </c>
      <c r="K444" s="7">
        <v>5500</v>
      </c>
      <c r="L444" s="10">
        <v>112.85</v>
      </c>
      <c r="M444" s="5" t="s">
        <v>162</v>
      </c>
      <c r="N444" s="4">
        <v>80.900000000000006</v>
      </c>
      <c r="O444" s="13">
        <v>11.5</v>
      </c>
      <c r="P444" s="13">
        <v>48.8</v>
      </c>
      <c r="Q444" s="4">
        <v>83132799</v>
      </c>
    </row>
    <row r="445" spans="1:17" x14ac:dyDescent="0.3">
      <c r="A445" s="4">
        <v>466</v>
      </c>
      <c r="B445" s="4" t="s">
        <v>1691</v>
      </c>
      <c r="C445" s="4" t="s">
        <v>31</v>
      </c>
      <c r="D445" s="4" t="s">
        <v>1692</v>
      </c>
      <c r="E445" s="4" t="s">
        <v>1170</v>
      </c>
      <c r="F445" s="4" t="s">
        <v>249</v>
      </c>
      <c r="G445" s="4" t="b">
        <v>1</v>
      </c>
      <c r="H445" s="4" t="s">
        <v>25</v>
      </c>
      <c r="I445" s="4" t="s">
        <v>1693</v>
      </c>
      <c r="J445" s="4" t="s">
        <v>1171</v>
      </c>
      <c r="K445" s="7">
        <v>5500</v>
      </c>
      <c r="L445" s="10">
        <v>117.24</v>
      </c>
      <c r="M445" s="5" t="s">
        <v>36</v>
      </c>
      <c r="N445" s="4">
        <v>78.5</v>
      </c>
      <c r="O445" s="13">
        <v>9.6</v>
      </c>
      <c r="P445" s="13">
        <v>36.6</v>
      </c>
      <c r="Q445" s="4">
        <v>328239523</v>
      </c>
    </row>
    <row r="446" spans="1:17" x14ac:dyDescent="0.3">
      <c r="A446" s="4">
        <v>466</v>
      </c>
      <c r="B446" s="4" t="s">
        <v>1694</v>
      </c>
      <c r="C446" s="4" t="s">
        <v>31</v>
      </c>
      <c r="D446" s="4" t="s">
        <v>1695</v>
      </c>
      <c r="E446" s="4" t="s">
        <v>984</v>
      </c>
      <c r="F446" s="4" t="s">
        <v>58</v>
      </c>
      <c r="G446" s="4" t="b">
        <v>0</v>
      </c>
      <c r="H446" s="4" t="s">
        <v>84</v>
      </c>
      <c r="I446" s="4" t="s">
        <v>1697</v>
      </c>
      <c r="J446" s="4" t="s">
        <v>1696</v>
      </c>
      <c r="K446" s="7">
        <v>5500</v>
      </c>
      <c r="L446" s="10">
        <v>117.24</v>
      </c>
      <c r="M446" s="5" t="s">
        <v>36</v>
      </c>
      <c r="N446" s="4">
        <v>78.5</v>
      </c>
      <c r="O446" s="13">
        <v>9.6</v>
      </c>
      <c r="P446" s="13">
        <v>36.6</v>
      </c>
      <c r="Q446" s="4">
        <v>328239523</v>
      </c>
    </row>
    <row r="447" spans="1:17" x14ac:dyDescent="0.3">
      <c r="A447" s="4">
        <v>466</v>
      </c>
      <c r="B447" s="4" t="s">
        <v>1698</v>
      </c>
      <c r="C447" s="4" t="s">
        <v>31</v>
      </c>
      <c r="D447" s="4" t="s">
        <v>60</v>
      </c>
      <c r="E447" s="4" t="s">
        <v>203</v>
      </c>
      <c r="F447" s="4" t="s">
        <v>48</v>
      </c>
      <c r="G447" s="4" t="b">
        <v>1</v>
      </c>
      <c r="H447" s="4" t="s">
        <v>25</v>
      </c>
      <c r="I447" s="4" t="s">
        <v>1700</v>
      </c>
      <c r="J447" s="4" t="s">
        <v>1699</v>
      </c>
      <c r="K447" s="7">
        <v>5500</v>
      </c>
      <c r="L447" s="10">
        <v>117.24</v>
      </c>
      <c r="M447" s="5" t="s">
        <v>36</v>
      </c>
      <c r="N447" s="4">
        <v>78.5</v>
      </c>
      <c r="O447" s="13">
        <v>9.6</v>
      </c>
      <c r="P447" s="13">
        <v>36.6</v>
      </c>
      <c r="Q447" s="4">
        <v>328239523</v>
      </c>
    </row>
    <row r="448" spans="1:17" x14ac:dyDescent="0.3">
      <c r="A448" s="4">
        <v>466</v>
      </c>
      <c r="B448" s="4" t="s">
        <v>1701</v>
      </c>
      <c r="C448" s="4" t="s">
        <v>679</v>
      </c>
      <c r="D448" s="4" t="s">
        <v>1702</v>
      </c>
      <c r="E448" s="4" t="s">
        <v>1703</v>
      </c>
      <c r="F448" s="4" t="s">
        <v>350</v>
      </c>
      <c r="G448" s="4" t="b">
        <v>1</v>
      </c>
      <c r="H448" s="4" t="s">
        <v>25</v>
      </c>
      <c r="I448" s="4" t="s">
        <v>1705</v>
      </c>
      <c r="J448" s="4" t="s">
        <v>1704</v>
      </c>
      <c r="K448" s="7">
        <v>5500</v>
      </c>
      <c r="L448" s="10">
        <v>110.62</v>
      </c>
      <c r="M448" s="5" t="s">
        <v>683</v>
      </c>
      <c r="N448" s="4">
        <v>82.9</v>
      </c>
      <c r="O448" s="13">
        <v>24.3</v>
      </c>
      <c r="P448" s="13">
        <v>59.1</v>
      </c>
      <c r="Q448" s="4">
        <v>60297396</v>
      </c>
    </row>
    <row r="449" spans="1:17" x14ac:dyDescent="0.3">
      <c r="A449" s="4">
        <v>466</v>
      </c>
      <c r="B449" s="4" t="s">
        <v>1706</v>
      </c>
      <c r="C449" s="4" t="s">
        <v>31</v>
      </c>
      <c r="D449" s="4" t="s">
        <v>1707</v>
      </c>
      <c r="E449" s="4" t="s">
        <v>984</v>
      </c>
      <c r="F449" s="4" t="s">
        <v>58</v>
      </c>
      <c r="G449" s="4" t="b">
        <v>0</v>
      </c>
      <c r="H449" s="4" t="s">
        <v>84</v>
      </c>
      <c r="I449" s="4" t="s">
        <v>1709</v>
      </c>
      <c r="J449" s="4" t="s">
        <v>1708</v>
      </c>
      <c r="K449" s="7">
        <v>5500</v>
      </c>
      <c r="L449" s="10">
        <v>117.24</v>
      </c>
      <c r="M449" s="5" t="s">
        <v>36</v>
      </c>
      <c r="N449" s="4">
        <v>78.5</v>
      </c>
      <c r="O449" s="13">
        <v>9.6</v>
      </c>
      <c r="P449" s="13">
        <v>36.6</v>
      </c>
      <c r="Q449" s="4">
        <v>328239523</v>
      </c>
    </row>
    <row r="450" spans="1:17" x14ac:dyDescent="0.3">
      <c r="A450" s="4">
        <v>466</v>
      </c>
      <c r="B450" s="4" t="s">
        <v>1710</v>
      </c>
      <c r="C450" s="4" t="s">
        <v>273</v>
      </c>
      <c r="D450" s="4" t="s">
        <v>606</v>
      </c>
      <c r="E450" s="4" t="s">
        <v>730</v>
      </c>
      <c r="F450" s="4" t="s">
        <v>37</v>
      </c>
      <c r="G450" s="4" t="b">
        <v>1</v>
      </c>
      <c r="H450" s="4" t="s">
        <v>25</v>
      </c>
      <c r="I450" s="4" t="s">
        <v>924</v>
      </c>
      <c r="J450" s="4" t="s">
        <v>1711</v>
      </c>
      <c r="K450" s="7">
        <v>5500</v>
      </c>
      <c r="L450" s="10">
        <v>119.8</v>
      </c>
      <c r="M450" s="5" t="s">
        <v>278</v>
      </c>
      <c r="N450" s="4">
        <v>82.7</v>
      </c>
      <c r="O450" s="13">
        <v>23</v>
      </c>
      <c r="P450" s="13">
        <v>47.4</v>
      </c>
      <c r="Q450" s="4">
        <v>25766605</v>
      </c>
    </row>
    <row r="451" spans="1:17" x14ac:dyDescent="0.3">
      <c r="A451" s="4">
        <v>466</v>
      </c>
      <c r="B451" s="4" t="s">
        <v>1712</v>
      </c>
      <c r="C451" s="4" t="s">
        <v>104</v>
      </c>
      <c r="D451" s="4" t="s">
        <v>152</v>
      </c>
      <c r="E451" s="4" t="s">
        <v>1652</v>
      </c>
      <c r="F451" s="4" t="s">
        <v>71</v>
      </c>
      <c r="G451" s="4" t="b">
        <v>1</v>
      </c>
      <c r="H451" s="4" t="s">
        <v>84</v>
      </c>
      <c r="I451" s="4" t="s">
        <v>1713</v>
      </c>
      <c r="J451" s="4" t="s">
        <v>724</v>
      </c>
      <c r="K451" s="7">
        <v>5500</v>
      </c>
      <c r="L451" s="10">
        <v>125.08</v>
      </c>
      <c r="M451" s="5" t="s">
        <v>109</v>
      </c>
      <c r="N451" s="4">
        <v>77</v>
      </c>
      <c r="O451" s="13">
        <v>9.4</v>
      </c>
      <c r="P451" s="13">
        <v>59.2</v>
      </c>
      <c r="Q451" s="4">
        <v>1397715000</v>
      </c>
    </row>
    <row r="452" spans="1:17" x14ac:dyDescent="0.3">
      <c r="A452" s="4">
        <v>486</v>
      </c>
      <c r="B452" s="4" t="s">
        <v>1714</v>
      </c>
      <c r="C452" s="4" t="s">
        <v>679</v>
      </c>
      <c r="D452" s="4" t="s">
        <v>680</v>
      </c>
      <c r="E452" s="4" t="s">
        <v>164</v>
      </c>
      <c r="F452" s="4" t="s">
        <v>20</v>
      </c>
      <c r="G452" s="4" t="b">
        <v>1</v>
      </c>
      <c r="H452" s="4" t="s">
        <v>25</v>
      </c>
      <c r="I452" s="4" t="s">
        <v>1716</v>
      </c>
      <c r="J452" s="4" t="s">
        <v>1715</v>
      </c>
      <c r="K452" s="7">
        <v>5400</v>
      </c>
      <c r="L452" s="10">
        <v>110.62</v>
      </c>
      <c r="M452" s="5" t="s">
        <v>683</v>
      </c>
      <c r="N452" s="4">
        <v>82.9</v>
      </c>
      <c r="O452" s="13">
        <v>24.3</v>
      </c>
      <c r="P452" s="13">
        <v>59.1</v>
      </c>
      <c r="Q452" s="4">
        <v>60297396</v>
      </c>
    </row>
    <row r="453" spans="1:17" x14ac:dyDescent="0.3">
      <c r="A453" s="4">
        <v>486</v>
      </c>
      <c r="B453" s="4" t="s">
        <v>1717</v>
      </c>
      <c r="C453" s="4" t="s">
        <v>73</v>
      </c>
      <c r="D453" s="4" t="s">
        <v>74</v>
      </c>
      <c r="E453" s="4" t="s">
        <v>555</v>
      </c>
      <c r="F453" s="4" t="s">
        <v>249</v>
      </c>
      <c r="G453" s="4" t="b">
        <v>0</v>
      </c>
      <c r="H453" s="4" t="s">
        <v>25</v>
      </c>
      <c r="I453" s="4" t="s">
        <v>1719</v>
      </c>
      <c r="J453" s="4" t="s">
        <v>1718</v>
      </c>
      <c r="K453" s="7">
        <v>5400</v>
      </c>
      <c r="L453" s="10">
        <v>180.44</v>
      </c>
      <c r="M453" s="5" t="s">
        <v>77</v>
      </c>
      <c r="N453" s="4">
        <v>69.400000000000006</v>
      </c>
      <c r="O453" s="13">
        <v>11.2</v>
      </c>
      <c r="P453" s="13">
        <v>49.7</v>
      </c>
      <c r="Q453" s="4">
        <v>1366417754</v>
      </c>
    </row>
    <row r="454" spans="1:17" x14ac:dyDescent="0.3">
      <c r="A454" s="4">
        <v>486</v>
      </c>
      <c r="B454" s="4" t="s">
        <v>1720</v>
      </c>
      <c r="C454" s="4" t="s">
        <v>31</v>
      </c>
      <c r="D454" s="4" t="s">
        <v>1721</v>
      </c>
      <c r="E454" s="4" t="s">
        <v>1722</v>
      </c>
      <c r="F454" s="4" t="s">
        <v>48</v>
      </c>
      <c r="G454" s="4" t="b">
        <v>0</v>
      </c>
      <c r="H454" s="4" t="s">
        <v>25</v>
      </c>
      <c r="I454" s="4" t="s">
        <v>1724</v>
      </c>
      <c r="J454" s="4" t="s">
        <v>1723</v>
      </c>
      <c r="K454" s="7">
        <v>5400</v>
      </c>
      <c r="L454" s="10">
        <v>117.24</v>
      </c>
      <c r="M454" s="5" t="s">
        <v>36</v>
      </c>
      <c r="N454" s="4">
        <v>78.5</v>
      </c>
      <c r="O454" s="13">
        <v>9.6</v>
      </c>
      <c r="P454" s="13">
        <v>36.6</v>
      </c>
      <c r="Q454" s="4">
        <v>328239523</v>
      </c>
    </row>
    <row r="455" spans="1:17" x14ac:dyDescent="0.3">
      <c r="A455" s="4">
        <v>486</v>
      </c>
      <c r="B455" s="4" t="s">
        <v>1725</v>
      </c>
      <c r="C455" s="4" t="s">
        <v>554</v>
      </c>
      <c r="D455" s="4" t="s">
        <v>554</v>
      </c>
      <c r="E455" s="4" t="s">
        <v>1567</v>
      </c>
      <c r="F455" s="4" t="s">
        <v>37</v>
      </c>
      <c r="G455" s="4" t="b">
        <v>1</v>
      </c>
      <c r="H455" s="4" t="s">
        <v>25</v>
      </c>
      <c r="I455" s="4" t="s">
        <v>1727</v>
      </c>
      <c r="J455" s="4" t="s">
        <v>1726</v>
      </c>
      <c r="K455" s="7">
        <v>5400</v>
      </c>
      <c r="L455" s="10">
        <v>114.41</v>
      </c>
      <c r="M455" s="5" t="s">
        <v>558</v>
      </c>
      <c r="N455" s="4">
        <v>83.1</v>
      </c>
      <c r="O455" s="13">
        <v>13.1</v>
      </c>
      <c r="P455" s="13">
        <v>21</v>
      </c>
      <c r="Q455" s="4">
        <v>5703569</v>
      </c>
    </row>
    <row r="456" spans="1:17" x14ac:dyDescent="0.3">
      <c r="A456" s="4">
        <v>486</v>
      </c>
      <c r="B456" s="4" t="s">
        <v>1728</v>
      </c>
      <c r="C456" s="4" t="s">
        <v>104</v>
      </c>
      <c r="D456" s="4" t="s">
        <v>1729</v>
      </c>
      <c r="E456" s="4" t="s">
        <v>1730</v>
      </c>
      <c r="F456" s="4" t="s">
        <v>71</v>
      </c>
      <c r="G456" s="4" t="b">
        <v>1</v>
      </c>
      <c r="H456" s="4" t="s">
        <v>25</v>
      </c>
      <c r="I456" s="4" t="s">
        <v>1732</v>
      </c>
      <c r="J456" s="4" t="s">
        <v>1731</v>
      </c>
      <c r="K456" s="7">
        <v>5400</v>
      </c>
      <c r="L456" s="10">
        <v>125.08</v>
      </c>
      <c r="M456" s="5" t="s">
        <v>109</v>
      </c>
      <c r="N456" s="4">
        <v>77</v>
      </c>
      <c r="O456" s="13">
        <v>9.4</v>
      </c>
      <c r="P456" s="13">
        <v>59.2</v>
      </c>
      <c r="Q456" s="4">
        <v>1397715000</v>
      </c>
    </row>
    <row r="457" spans="1:17" x14ac:dyDescent="0.3">
      <c r="A457" s="4">
        <v>486</v>
      </c>
      <c r="B457" s="4" t="s">
        <v>1733</v>
      </c>
      <c r="C457" s="4" t="s">
        <v>169</v>
      </c>
      <c r="D457" s="4" t="s">
        <v>1734</v>
      </c>
      <c r="E457" s="4" t="s">
        <v>1735</v>
      </c>
      <c r="F457" s="4" t="s">
        <v>249</v>
      </c>
      <c r="G457" s="4" t="b">
        <v>1</v>
      </c>
      <c r="H457" s="4" t="s">
        <v>25</v>
      </c>
      <c r="I457" s="4" t="s">
        <v>63</v>
      </c>
      <c r="J457" s="4" t="s">
        <v>1736</v>
      </c>
      <c r="K457" s="7">
        <v>5400</v>
      </c>
      <c r="L457" s="10">
        <v>99.55</v>
      </c>
      <c r="M457" s="5" t="s">
        <v>174</v>
      </c>
      <c r="N457" s="4">
        <v>83.6</v>
      </c>
      <c r="O457" s="13">
        <v>10.1</v>
      </c>
      <c r="P457" s="13">
        <v>28.8</v>
      </c>
      <c r="Q457" s="4">
        <v>8574832</v>
      </c>
    </row>
    <row r="458" spans="1:17" x14ac:dyDescent="0.3">
      <c r="A458" s="4">
        <v>486</v>
      </c>
      <c r="B458" s="4" t="s">
        <v>1737</v>
      </c>
      <c r="C458" s="4" t="s">
        <v>679</v>
      </c>
      <c r="D458" s="4" t="s">
        <v>680</v>
      </c>
      <c r="E458" s="4" t="s">
        <v>164</v>
      </c>
      <c r="F458" s="4" t="s">
        <v>20</v>
      </c>
      <c r="G458" s="4" t="b">
        <v>0</v>
      </c>
      <c r="H458" s="4" t="s">
        <v>84</v>
      </c>
      <c r="I458" s="4" t="s">
        <v>1739</v>
      </c>
      <c r="J458" s="4" t="s">
        <v>1738</v>
      </c>
      <c r="K458" s="7">
        <v>5400</v>
      </c>
      <c r="L458" s="10">
        <v>110.62</v>
      </c>
      <c r="M458" s="5" t="s">
        <v>683</v>
      </c>
      <c r="N458" s="4">
        <v>82.9</v>
      </c>
      <c r="O458" s="13">
        <v>24.3</v>
      </c>
      <c r="P458" s="13">
        <v>59.1</v>
      </c>
      <c r="Q458" s="4">
        <v>60297396</v>
      </c>
    </row>
    <row r="459" spans="1:17" x14ac:dyDescent="0.3">
      <c r="A459" s="4">
        <v>486</v>
      </c>
      <c r="B459" s="4" t="s">
        <v>1740</v>
      </c>
      <c r="C459" s="4" t="s">
        <v>157</v>
      </c>
      <c r="D459" s="4" t="s">
        <v>1741</v>
      </c>
      <c r="E459" s="4" t="s">
        <v>1742</v>
      </c>
      <c r="F459" s="4" t="s">
        <v>20</v>
      </c>
      <c r="G459" s="4" t="b">
        <v>0</v>
      </c>
      <c r="H459" s="4" t="s">
        <v>25</v>
      </c>
      <c r="I459" s="4" t="s">
        <v>1540</v>
      </c>
      <c r="J459" s="4" t="s">
        <v>1743</v>
      </c>
      <c r="K459" s="7">
        <v>5400</v>
      </c>
      <c r="L459" s="10">
        <v>112.85</v>
      </c>
      <c r="M459" s="5" t="s">
        <v>162</v>
      </c>
      <c r="N459" s="4">
        <v>80.900000000000006</v>
      </c>
      <c r="O459" s="13">
        <v>11.5</v>
      </c>
      <c r="P459" s="13">
        <v>48.8</v>
      </c>
      <c r="Q459" s="4">
        <v>83132799</v>
      </c>
    </row>
    <row r="460" spans="1:17" x14ac:dyDescent="0.3">
      <c r="A460" s="4">
        <v>486</v>
      </c>
      <c r="B460" s="4" t="s">
        <v>1744</v>
      </c>
      <c r="C460" s="4" t="s">
        <v>157</v>
      </c>
      <c r="D460" s="4" t="s">
        <v>1439</v>
      </c>
      <c r="E460" s="4" t="s">
        <v>1742</v>
      </c>
      <c r="F460" s="4" t="s">
        <v>20</v>
      </c>
      <c r="G460" s="4" t="b">
        <v>0</v>
      </c>
      <c r="H460" s="4" t="s">
        <v>25</v>
      </c>
      <c r="I460" s="4" t="s">
        <v>1746</v>
      </c>
      <c r="J460" s="4" t="s">
        <v>1745</v>
      </c>
      <c r="K460" s="7">
        <v>5400</v>
      </c>
      <c r="L460" s="10">
        <v>112.85</v>
      </c>
      <c r="M460" s="5" t="s">
        <v>162</v>
      </c>
      <c r="N460" s="4">
        <v>80.900000000000006</v>
      </c>
      <c r="O460" s="13">
        <v>11.5</v>
      </c>
      <c r="P460" s="13">
        <v>48.8</v>
      </c>
      <c r="Q460" s="4">
        <v>83132799</v>
      </c>
    </row>
    <row r="461" spans="1:17" x14ac:dyDescent="0.3">
      <c r="A461" s="4">
        <v>486</v>
      </c>
      <c r="B461" s="4" t="s">
        <v>1747</v>
      </c>
      <c r="C461" s="4" t="s">
        <v>207</v>
      </c>
      <c r="D461" s="4" t="s">
        <v>1080</v>
      </c>
      <c r="E461" s="4" t="s">
        <v>1742</v>
      </c>
      <c r="F461" s="4" t="s">
        <v>20</v>
      </c>
      <c r="G461" s="4" t="b">
        <v>0</v>
      </c>
      <c r="H461" s="4" t="s">
        <v>25</v>
      </c>
      <c r="I461" s="4" t="s">
        <v>315</v>
      </c>
      <c r="J461" s="4" t="s">
        <v>1745</v>
      </c>
      <c r="K461" s="7">
        <v>5400</v>
      </c>
      <c r="L461" s="10">
        <v>118.06</v>
      </c>
      <c r="M461" s="5" t="s">
        <v>211</v>
      </c>
      <c r="N461" s="4">
        <v>81.599999999999994</v>
      </c>
      <c r="O461" s="13">
        <v>25.4</v>
      </c>
      <c r="P461" s="13">
        <v>51.4</v>
      </c>
      <c r="Q461" s="4">
        <v>8877067</v>
      </c>
    </row>
    <row r="462" spans="1:17" x14ac:dyDescent="0.3">
      <c r="A462" s="4">
        <v>486</v>
      </c>
      <c r="B462" s="4" t="s">
        <v>1748</v>
      </c>
      <c r="C462" s="4" t="s">
        <v>207</v>
      </c>
      <c r="D462" s="4" t="s">
        <v>1080</v>
      </c>
      <c r="E462" s="4" t="s">
        <v>1742</v>
      </c>
      <c r="F462" s="4" t="s">
        <v>20</v>
      </c>
      <c r="G462" s="4" t="b">
        <v>0</v>
      </c>
      <c r="H462" s="4" t="s">
        <v>84</v>
      </c>
      <c r="I462" s="4" t="s">
        <v>1750</v>
      </c>
      <c r="J462" s="4" t="s">
        <v>1749</v>
      </c>
      <c r="K462" s="7">
        <v>5400</v>
      </c>
      <c r="L462" s="10">
        <v>118.06</v>
      </c>
      <c r="M462" s="5" t="s">
        <v>211</v>
      </c>
      <c r="N462" s="4">
        <v>81.599999999999994</v>
      </c>
      <c r="O462" s="13">
        <v>25.4</v>
      </c>
      <c r="P462" s="13">
        <v>51.4</v>
      </c>
      <c r="Q462" s="4">
        <v>8877067</v>
      </c>
    </row>
    <row r="463" spans="1:17" x14ac:dyDescent="0.3">
      <c r="A463" s="4">
        <v>497</v>
      </c>
      <c r="B463" s="4" t="s">
        <v>1751</v>
      </c>
      <c r="C463" s="4" t="s">
        <v>31</v>
      </c>
      <c r="D463" s="4" t="s">
        <v>1580</v>
      </c>
      <c r="E463" s="4" t="s">
        <v>1583</v>
      </c>
      <c r="F463" s="4" t="s">
        <v>48</v>
      </c>
      <c r="G463" s="4" t="b">
        <v>1</v>
      </c>
      <c r="H463" s="4" t="s">
        <v>25</v>
      </c>
      <c r="I463" s="4" t="s">
        <v>1753</v>
      </c>
      <c r="J463" s="4" t="s">
        <v>1752</v>
      </c>
      <c r="K463" s="7">
        <v>5300</v>
      </c>
      <c r="L463" s="10">
        <v>117.24</v>
      </c>
      <c r="M463" s="5" t="s">
        <v>36</v>
      </c>
      <c r="N463" s="4">
        <v>78.5</v>
      </c>
      <c r="O463" s="13">
        <v>9.6</v>
      </c>
      <c r="P463" s="13">
        <v>36.6</v>
      </c>
      <c r="Q463" s="4">
        <v>328239523</v>
      </c>
    </row>
    <row r="464" spans="1:17" x14ac:dyDescent="0.3">
      <c r="A464" s="4">
        <v>497</v>
      </c>
      <c r="B464" s="4" t="s">
        <v>1754</v>
      </c>
      <c r="C464" s="4" t="s">
        <v>31</v>
      </c>
      <c r="D464" s="4" t="s">
        <v>830</v>
      </c>
      <c r="E464" s="4" t="s">
        <v>464</v>
      </c>
      <c r="F464" s="4" t="s">
        <v>461</v>
      </c>
      <c r="G464" s="4" t="b">
        <v>1</v>
      </c>
      <c r="H464" s="4" t="s">
        <v>25</v>
      </c>
      <c r="I464" s="4" t="s">
        <v>819</v>
      </c>
      <c r="J464" s="4" t="s">
        <v>1755</v>
      </c>
      <c r="K464" s="7">
        <v>5300</v>
      </c>
      <c r="L464" s="10">
        <v>117.24</v>
      </c>
      <c r="M464" s="5" t="s">
        <v>36</v>
      </c>
      <c r="N464" s="4">
        <v>78.5</v>
      </c>
      <c r="O464" s="13">
        <v>9.6</v>
      </c>
      <c r="P464" s="13">
        <v>36.6</v>
      </c>
      <c r="Q464" s="4">
        <v>328239523</v>
      </c>
    </row>
    <row r="465" spans="1:17" x14ac:dyDescent="0.3">
      <c r="A465" s="4">
        <v>497</v>
      </c>
      <c r="B465" s="4" t="s">
        <v>1756</v>
      </c>
      <c r="C465" s="4" t="s">
        <v>1757</v>
      </c>
      <c r="D465" s="4" t="s">
        <v>1758</v>
      </c>
      <c r="E465" s="4" t="s">
        <v>1759</v>
      </c>
      <c r="F465" s="4" t="s">
        <v>249</v>
      </c>
      <c r="G465" s="4" t="b">
        <v>1</v>
      </c>
      <c r="H465" s="4" t="s">
        <v>25</v>
      </c>
      <c r="I465" s="4" t="s">
        <v>1761</v>
      </c>
      <c r="J465" s="4" t="s">
        <v>1760</v>
      </c>
      <c r="K465" s="7">
        <v>5300</v>
      </c>
      <c r="L465" s="10">
        <v>234.44</v>
      </c>
      <c r="M465" s="5" t="s">
        <v>1762</v>
      </c>
      <c r="N465" s="4">
        <v>77.400000000000006</v>
      </c>
      <c r="O465" s="13">
        <v>17.899999999999999</v>
      </c>
      <c r="P465" s="13">
        <v>42.3</v>
      </c>
      <c r="Q465" s="4">
        <v>83429615</v>
      </c>
    </row>
    <row r="466" spans="1:17" x14ac:dyDescent="0.3">
      <c r="A466" s="4">
        <v>497</v>
      </c>
      <c r="B466" s="4" t="s">
        <v>1763</v>
      </c>
      <c r="C466" s="4" t="s">
        <v>31</v>
      </c>
      <c r="D466" s="4" t="s">
        <v>1338</v>
      </c>
      <c r="E466" s="4" t="s">
        <v>370</v>
      </c>
      <c r="F466" s="4" t="s">
        <v>48</v>
      </c>
      <c r="G466" s="4" t="b">
        <v>0</v>
      </c>
      <c r="H466" s="4" t="s">
        <v>84</v>
      </c>
      <c r="I466" s="4" t="s">
        <v>873</v>
      </c>
      <c r="J466" s="4" t="s">
        <v>371</v>
      </c>
      <c r="K466" s="7">
        <v>5300</v>
      </c>
      <c r="L466" s="10">
        <v>117.24</v>
      </c>
      <c r="M466" s="5" t="s">
        <v>36</v>
      </c>
      <c r="N466" s="4">
        <v>78.5</v>
      </c>
      <c r="O466" s="13">
        <v>9.6</v>
      </c>
      <c r="P466" s="13">
        <v>36.6</v>
      </c>
      <c r="Q466" s="4">
        <v>328239523</v>
      </c>
    </row>
    <row r="467" spans="1:17" x14ac:dyDescent="0.3">
      <c r="A467" s="4">
        <v>497</v>
      </c>
      <c r="B467" s="4" t="s">
        <v>1764</v>
      </c>
      <c r="C467" s="4" t="s">
        <v>31</v>
      </c>
      <c r="D467" s="4" t="s">
        <v>502</v>
      </c>
      <c r="E467" s="4" t="s">
        <v>921</v>
      </c>
      <c r="F467" s="4" t="s">
        <v>48</v>
      </c>
      <c r="G467" s="4" t="b">
        <v>1</v>
      </c>
      <c r="H467" s="4" t="s">
        <v>25</v>
      </c>
      <c r="I467" s="4" t="s">
        <v>1507</v>
      </c>
      <c r="J467" s="4" t="s">
        <v>1765</v>
      </c>
      <c r="K467" s="7">
        <v>5300</v>
      </c>
      <c r="L467" s="10">
        <v>117.24</v>
      </c>
      <c r="M467" s="5" t="s">
        <v>36</v>
      </c>
      <c r="N467" s="4">
        <v>78.5</v>
      </c>
      <c r="O467" s="13">
        <v>9.6</v>
      </c>
      <c r="P467" s="13">
        <v>36.6</v>
      </c>
      <c r="Q467" s="4">
        <v>328239523</v>
      </c>
    </row>
    <row r="468" spans="1:17" x14ac:dyDescent="0.3">
      <c r="A468" s="4">
        <v>497</v>
      </c>
      <c r="B468" s="4" t="s">
        <v>1766</v>
      </c>
      <c r="C468" s="4" t="s">
        <v>293</v>
      </c>
      <c r="D468" s="4" t="s">
        <v>294</v>
      </c>
      <c r="E468" s="4" t="s">
        <v>1088</v>
      </c>
      <c r="F468" s="4" t="s">
        <v>71</v>
      </c>
      <c r="G468" s="4" t="b">
        <v>0</v>
      </c>
      <c r="H468" s="4" t="s">
        <v>25</v>
      </c>
      <c r="I468" s="4" t="s">
        <v>1768</v>
      </c>
      <c r="J468" s="4" t="s">
        <v>1767</v>
      </c>
      <c r="K468" s="7">
        <v>5300</v>
      </c>
      <c r="L468" s="10">
        <v>151.18</v>
      </c>
      <c r="M468" s="5" t="s">
        <v>298</v>
      </c>
      <c r="N468" s="4">
        <v>71.5</v>
      </c>
      <c r="O468" s="13">
        <v>10.199999999999999</v>
      </c>
      <c r="P468" s="13">
        <v>30.1</v>
      </c>
      <c r="Q468" s="4">
        <v>270203917</v>
      </c>
    </row>
    <row r="469" spans="1:17" x14ac:dyDescent="0.3">
      <c r="A469" s="4">
        <v>497</v>
      </c>
      <c r="B469" s="4" t="s">
        <v>1769</v>
      </c>
      <c r="C469" s="4" t="s">
        <v>31</v>
      </c>
      <c r="D469" s="4" t="s">
        <v>378</v>
      </c>
      <c r="E469" s="4" t="s">
        <v>1642</v>
      </c>
      <c r="F469" s="4" t="s">
        <v>48</v>
      </c>
      <c r="G469" s="4" t="b">
        <v>0</v>
      </c>
      <c r="H469" s="4" t="s">
        <v>25</v>
      </c>
      <c r="I469" s="4" t="s">
        <v>303</v>
      </c>
      <c r="J469" s="4" t="s">
        <v>1643</v>
      </c>
      <c r="K469" s="7">
        <v>5300</v>
      </c>
      <c r="L469" s="10">
        <v>117.24</v>
      </c>
      <c r="M469" s="5" t="s">
        <v>36</v>
      </c>
      <c r="N469" s="4">
        <v>78.5</v>
      </c>
      <c r="O469" s="13">
        <v>9.6</v>
      </c>
      <c r="P469" s="13">
        <v>36.6</v>
      </c>
      <c r="Q469" s="4">
        <v>328239523</v>
      </c>
    </row>
    <row r="470" spans="1:17" x14ac:dyDescent="0.3">
      <c r="A470" s="4">
        <v>497</v>
      </c>
      <c r="B470" s="4" t="s">
        <v>1770</v>
      </c>
      <c r="C470" s="4" t="s">
        <v>31</v>
      </c>
      <c r="D470" s="4" t="s">
        <v>885</v>
      </c>
      <c r="E470" s="4" t="s">
        <v>1182</v>
      </c>
      <c r="F470" s="4" t="s">
        <v>102</v>
      </c>
      <c r="G470" s="4" t="b">
        <v>1</v>
      </c>
      <c r="H470" s="4" t="s">
        <v>84</v>
      </c>
      <c r="I470" s="4" t="s">
        <v>1772</v>
      </c>
      <c r="J470" s="4" t="s">
        <v>1771</v>
      </c>
      <c r="K470" s="7">
        <v>5300</v>
      </c>
      <c r="L470" s="10">
        <v>117.24</v>
      </c>
      <c r="M470" s="5" t="s">
        <v>36</v>
      </c>
      <c r="N470" s="4">
        <v>78.5</v>
      </c>
      <c r="O470" s="13">
        <v>9.6</v>
      </c>
      <c r="P470" s="13">
        <v>36.6</v>
      </c>
      <c r="Q470" s="4">
        <v>328239523</v>
      </c>
    </row>
    <row r="471" spans="1:17" x14ac:dyDescent="0.3">
      <c r="A471" s="4">
        <v>497</v>
      </c>
      <c r="B471" s="4" t="s">
        <v>1773</v>
      </c>
      <c r="C471" s="4" t="s">
        <v>31</v>
      </c>
      <c r="D471" s="4" t="s">
        <v>885</v>
      </c>
      <c r="E471" s="4" t="s">
        <v>1182</v>
      </c>
      <c r="F471" s="4" t="s">
        <v>102</v>
      </c>
      <c r="G471" s="4" t="b">
        <v>1</v>
      </c>
      <c r="H471" s="4" t="s">
        <v>25</v>
      </c>
      <c r="I471" s="4" t="s">
        <v>1774</v>
      </c>
      <c r="J471" s="4" t="s">
        <v>1771</v>
      </c>
      <c r="K471" s="7">
        <v>5300</v>
      </c>
      <c r="L471" s="10">
        <v>117.24</v>
      </c>
      <c r="M471" s="5" t="s">
        <v>36</v>
      </c>
      <c r="N471" s="4">
        <v>78.5</v>
      </c>
      <c r="O471" s="13">
        <v>9.6</v>
      </c>
      <c r="P471" s="13">
        <v>36.6</v>
      </c>
      <c r="Q471" s="4">
        <v>328239523</v>
      </c>
    </row>
    <row r="472" spans="1:17" x14ac:dyDescent="0.3">
      <c r="A472" s="4">
        <v>497</v>
      </c>
      <c r="B472" s="4" t="s">
        <v>1775</v>
      </c>
      <c r="C472" s="4" t="s">
        <v>31</v>
      </c>
      <c r="D472" s="4" t="s">
        <v>983</v>
      </c>
      <c r="E472" s="4" t="s">
        <v>1776</v>
      </c>
      <c r="F472" s="4" t="s">
        <v>380</v>
      </c>
      <c r="G472" s="4" t="b">
        <v>0</v>
      </c>
      <c r="H472" s="4" t="s">
        <v>25</v>
      </c>
      <c r="I472" s="4" t="s">
        <v>1778</v>
      </c>
      <c r="J472" s="4" t="s">
        <v>1777</v>
      </c>
      <c r="K472" s="7">
        <v>5300</v>
      </c>
      <c r="L472" s="10">
        <v>117.24</v>
      </c>
      <c r="M472" s="5" t="s">
        <v>36</v>
      </c>
      <c r="N472" s="4">
        <v>78.5</v>
      </c>
      <c r="O472" s="13">
        <v>9.6</v>
      </c>
      <c r="P472" s="13">
        <v>36.6</v>
      </c>
      <c r="Q472" s="4">
        <v>328239523</v>
      </c>
    </row>
    <row r="473" spans="1:17" x14ac:dyDescent="0.3">
      <c r="A473" s="4">
        <v>497</v>
      </c>
      <c r="B473" s="4" t="s">
        <v>1779</v>
      </c>
      <c r="C473" s="4" t="s">
        <v>31</v>
      </c>
      <c r="D473" s="4" t="s">
        <v>378</v>
      </c>
      <c r="E473" s="4" t="s">
        <v>1780</v>
      </c>
      <c r="F473" s="4" t="s">
        <v>48</v>
      </c>
      <c r="G473" s="4" t="b">
        <v>1</v>
      </c>
      <c r="H473" s="4" t="s">
        <v>25</v>
      </c>
      <c r="I473" s="4" t="s">
        <v>113</v>
      </c>
      <c r="J473" s="4" t="s">
        <v>1781</v>
      </c>
      <c r="K473" s="7">
        <v>5300</v>
      </c>
      <c r="L473" s="10">
        <v>117.24</v>
      </c>
      <c r="M473" s="5" t="s">
        <v>36</v>
      </c>
      <c r="N473" s="4">
        <v>78.5</v>
      </c>
      <c r="O473" s="13">
        <v>9.6</v>
      </c>
      <c r="P473" s="13">
        <v>36.6</v>
      </c>
      <c r="Q473" s="4">
        <v>328239523</v>
      </c>
    </row>
    <row r="474" spans="1:17" x14ac:dyDescent="0.3">
      <c r="A474" s="4">
        <v>497</v>
      </c>
      <c r="B474" s="4" t="s">
        <v>1782</v>
      </c>
      <c r="C474" s="4" t="s">
        <v>31</v>
      </c>
      <c r="D474" s="4" t="s">
        <v>1783</v>
      </c>
      <c r="E474" s="4" t="s">
        <v>1095</v>
      </c>
      <c r="F474" s="4" t="s">
        <v>249</v>
      </c>
      <c r="G474" s="4" t="b">
        <v>1</v>
      </c>
      <c r="H474" s="4" t="s">
        <v>25</v>
      </c>
      <c r="I474" s="4" t="s">
        <v>1785</v>
      </c>
      <c r="J474" s="4" t="s">
        <v>1784</v>
      </c>
      <c r="K474" s="7">
        <v>5300</v>
      </c>
      <c r="L474" s="10">
        <v>117.24</v>
      </c>
      <c r="M474" s="5" t="s">
        <v>36</v>
      </c>
      <c r="N474" s="4">
        <v>78.5</v>
      </c>
      <c r="O474" s="13">
        <v>9.6</v>
      </c>
      <c r="P474" s="13">
        <v>36.6</v>
      </c>
      <c r="Q474" s="4">
        <v>328239523</v>
      </c>
    </row>
    <row r="475" spans="1:17" x14ac:dyDescent="0.3">
      <c r="A475" s="4">
        <v>497</v>
      </c>
      <c r="B475" s="4" t="s">
        <v>1786</v>
      </c>
      <c r="C475" s="4" t="s">
        <v>157</v>
      </c>
      <c r="D475" s="4" t="s">
        <v>1787</v>
      </c>
      <c r="E475" s="4" t="s">
        <v>1788</v>
      </c>
      <c r="F475" s="4" t="s">
        <v>102</v>
      </c>
      <c r="G475" s="4" t="b">
        <v>1</v>
      </c>
      <c r="H475" s="4" t="s">
        <v>25</v>
      </c>
      <c r="I475" s="4" t="s">
        <v>1790</v>
      </c>
      <c r="J475" s="4" t="s">
        <v>1789</v>
      </c>
      <c r="K475" s="7">
        <v>5300</v>
      </c>
      <c r="L475" s="10">
        <v>112.85</v>
      </c>
      <c r="M475" s="5" t="s">
        <v>162</v>
      </c>
      <c r="N475" s="4">
        <v>80.900000000000006</v>
      </c>
      <c r="O475" s="13">
        <v>11.5</v>
      </c>
      <c r="P475" s="13">
        <v>48.8</v>
      </c>
      <c r="Q475" s="4">
        <v>83132799</v>
      </c>
    </row>
    <row r="476" spans="1:17" x14ac:dyDescent="0.3">
      <c r="A476" s="4">
        <v>497</v>
      </c>
      <c r="B476" s="4" t="s">
        <v>1791</v>
      </c>
      <c r="C476" s="4" t="s">
        <v>305</v>
      </c>
      <c r="D476" s="4" t="s">
        <v>1792</v>
      </c>
      <c r="E476" s="4" t="s">
        <v>159</v>
      </c>
      <c r="F476" s="4" t="s">
        <v>20</v>
      </c>
      <c r="G476" s="4" t="b">
        <v>1</v>
      </c>
      <c r="H476" s="4" t="s">
        <v>25</v>
      </c>
      <c r="I476" s="4" t="s">
        <v>1794</v>
      </c>
      <c r="J476" s="4" t="s">
        <v>1793</v>
      </c>
      <c r="K476" s="7">
        <v>5300</v>
      </c>
      <c r="L476" s="10">
        <v>114.52</v>
      </c>
      <c r="M476" s="5" t="s">
        <v>310</v>
      </c>
      <c r="N476" s="4">
        <v>77.8</v>
      </c>
      <c r="O476" s="13">
        <v>0.1</v>
      </c>
      <c r="P476" s="13">
        <v>15.9</v>
      </c>
      <c r="Q476" s="4">
        <v>9770529</v>
      </c>
    </row>
  </sheetData>
  <sortState xmlns:xlrd2="http://schemas.microsoft.com/office/spreadsheetml/2017/richdata2" ref="A2:S476">
    <sortCondition descending="1" ref="K2:K476"/>
  </sortState>
  <conditionalFormatting sqref="K1:K1048576">
    <cfRule type="top10" dxfId="5" priority="1" rank="10"/>
    <cfRule type="dataBar" priority="2">
      <dataBar>
        <cfvo type="min"/>
        <cfvo type="max"/>
        <color rgb="FF638EC6"/>
      </dataBar>
      <extLst>
        <ext xmlns:x14="http://schemas.microsoft.com/office/spreadsheetml/2009/9/main" uri="{B025F937-C7B1-47D3-B67F-A62EFF666E3E}">
          <x14:id>{3E3FBD17-198A-490F-A815-3BD49557D491}</x14:id>
        </ext>
      </extLst>
    </cfRule>
    <cfRule type="top10" dxfId="4" priority="4" rank="10"/>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E3FBD17-198A-490F-A815-3BD49557D491}">
            <x14:dataBar minLength="0" maxLength="100" border="1" negativeBarBorderColorSameAsPositive="0">
              <x14:cfvo type="autoMin"/>
              <x14:cfvo type="autoMax"/>
              <x14:borderColor rgb="FF638EC6"/>
              <x14:negativeFillColor rgb="FFFF0000"/>
              <x14:negativeBorderColor rgb="FFFF0000"/>
              <x14:axisColor rgb="FF000000"/>
            </x14:dataBar>
          </x14:cfRule>
          <xm:sqref>K1:K1048576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9"/>
  <sheetViews>
    <sheetView topLeftCell="E1" workbookViewId="0">
      <selection activeCell="Q7" sqref="Q7"/>
    </sheetView>
  </sheetViews>
  <sheetFormatPr defaultRowHeight="15.6" x14ac:dyDescent="0.3"/>
  <cols>
    <col min="1" max="1" width="15.19921875" bestFit="1" customWidth="1"/>
    <col min="2" max="2" width="16.3984375" bestFit="1" customWidth="1"/>
    <col min="14" max="14" width="17.09765625" bestFit="1" customWidth="1"/>
    <col min="15" max="15" width="16.3984375" bestFit="1" customWidth="1"/>
  </cols>
  <sheetData>
    <row r="3" spans="1:17" x14ac:dyDescent="0.3">
      <c r="A3" s="16" t="s">
        <v>1802</v>
      </c>
      <c r="B3" t="s">
        <v>1805</v>
      </c>
    </row>
    <row r="4" spans="1:17" x14ac:dyDescent="0.3">
      <c r="A4" s="17" t="s">
        <v>102</v>
      </c>
      <c r="B4" s="18">
        <v>38900</v>
      </c>
    </row>
    <row r="5" spans="1:17" x14ac:dyDescent="0.3">
      <c r="A5" s="17" t="s">
        <v>1803</v>
      </c>
      <c r="B5" s="18">
        <v>38900</v>
      </c>
    </row>
    <row r="7" spans="1:17" x14ac:dyDescent="0.3">
      <c r="N7" s="16" t="s">
        <v>1802</v>
      </c>
      <c r="O7" t="s">
        <v>1805</v>
      </c>
      <c r="Q7" s="18" t="e">
        <f>GETPIVOTDATA("finalWorth",$N$7,"source","Mining")</f>
        <v>#REF!</v>
      </c>
    </row>
    <row r="8" spans="1:17" x14ac:dyDescent="0.3">
      <c r="N8" s="17" t="s">
        <v>178</v>
      </c>
      <c r="O8" s="18">
        <v>38900</v>
      </c>
    </row>
    <row r="9" spans="1:17" x14ac:dyDescent="0.3">
      <c r="N9" s="17" t="s">
        <v>1803</v>
      </c>
      <c r="O9" s="18">
        <v>38900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60" zoomScaleNormal="55" workbookViewId="0">
      <selection activeCell="AA21" sqref="AA2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21"/>
  <sheetViews>
    <sheetView workbookViewId="0">
      <selection activeCell="B20" sqref="B20"/>
    </sheetView>
  </sheetViews>
  <sheetFormatPr defaultRowHeight="15.6" x14ac:dyDescent="0.3"/>
  <cols>
    <col min="1" max="1" width="22.19921875" bestFit="1" customWidth="1"/>
    <col min="2" max="2" width="19.19921875" bestFit="1" customWidth="1"/>
    <col min="3" max="3" width="21.69921875" bestFit="1" customWidth="1"/>
  </cols>
  <sheetData>
    <row r="3" spans="1:2" x14ac:dyDescent="0.3">
      <c r="A3" s="16" t="s">
        <v>1802</v>
      </c>
      <c r="B3" t="s">
        <v>1804</v>
      </c>
    </row>
    <row r="4" spans="1:2" x14ac:dyDescent="0.3">
      <c r="A4" s="17" t="s">
        <v>21</v>
      </c>
      <c r="B4" s="18">
        <v>211000</v>
      </c>
    </row>
    <row r="5" spans="1:2" x14ac:dyDescent="0.3">
      <c r="A5" s="17" t="s">
        <v>30</v>
      </c>
      <c r="B5" s="18">
        <v>180000</v>
      </c>
    </row>
    <row r="6" spans="1:2" x14ac:dyDescent="0.3">
      <c r="A6" s="17" t="s">
        <v>38</v>
      </c>
      <c r="B6" s="18">
        <v>114000</v>
      </c>
    </row>
    <row r="7" spans="1:2" x14ac:dyDescent="0.3">
      <c r="A7" s="17" t="s">
        <v>43</v>
      </c>
      <c r="B7" s="18">
        <v>107000</v>
      </c>
    </row>
    <row r="8" spans="1:2" x14ac:dyDescent="0.3">
      <c r="A8" s="17" t="s">
        <v>49</v>
      </c>
      <c r="B8" s="18">
        <v>106000</v>
      </c>
    </row>
    <row r="9" spans="1:2" x14ac:dyDescent="0.3">
      <c r="A9" s="17" t="s">
        <v>54</v>
      </c>
      <c r="B9" s="18">
        <v>104000</v>
      </c>
    </row>
    <row r="10" spans="1:2" x14ac:dyDescent="0.3">
      <c r="A10" s="17" t="s">
        <v>59</v>
      </c>
      <c r="B10" s="18">
        <v>94500</v>
      </c>
    </row>
    <row r="11" spans="1:2" x14ac:dyDescent="0.3">
      <c r="A11" s="17" t="s">
        <v>65</v>
      </c>
      <c r="B11" s="18">
        <v>93000</v>
      </c>
    </row>
    <row r="12" spans="1:2" x14ac:dyDescent="0.3">
      <c r="A12" s="17" t="s">
        <v>72</v>
      </c>
      <c r="B12" s="18">
        <v>83400</v>
      </c>
    </row>
    <row r="13" spans="1:2" x14ac:dyDescent="0.3">
      <c r="A13" s="17" t="s">
        <v>78</v>
      </c>
      <c r="B13" s="18">
        <v>80700</v>
      </c>
    </row>
    <row r="14" spans="1:2" x14ac:dyDescent="0.3">
      <c r="A14" s="17" t="s">
        <v>1803</v>
      </c>
      <c r="B14" s="18">
        <v>1173600</v>
      </c>
    </row>
    <row r="17" spans="1:2" x14ac:dyDescent="0.3">
      <c r="A17" s="16" t="s">
        <v>1802</v>
      </c>
      <c r="B17" t="s">
        <v>1806</v>
      </c>
    </row>
    <row r="18" spans="1:2" x14ac:dyDescent="0.3">
      <c r="A18" s="17" t="s">
        <v>1808</v>
      </c>
      <c r="B18">
        <v>249</v>
      </c>
    </row>
    <row r="19" spans="1:2" x14ac:dyDescent="0.3">
      <c r="A19" s="17" t="s">
        <v>1809</v>
      </c>
      <c r="B19">
        <v>100</v>
      </c>
    </row>
    <row r="20" spans="1:2" x14ac:dyDescent="0.3">
      <c r="A20" s="17" t="s">
        <v>1810</v>
      </c>
      <c r="B20">
        <v>132</v>
      </c>
    </row>
    <row r="21" spans="1:2" x14ac:dyDescent="0.3">
      <c r="A21" s="17" t="s">
        <v>1803</v>
      </c>
      <c r="B21">
        <v>481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76"/>
  <sheetViews>
    <sheetView workbookViewId="0">
      <selection activeCell="G17" sqref="G17"/>
    </sheetView>
  </sheetViews>
  <sheetFormatPr defaultRowHeight="15.6" x14ac:dyDescent="0.3"/>
  <cols>
    <col min="1" max="1" width="4.59765625" customWidth="1"/>
    <col min="2" max="2" width="35.69921875" bestFit="1" customWidth="1"/>
    <col min="3" max="3" width="11.69921875" customWidth="1"/>
    <col min="4" max="4" width="19.19921875" customWidth="1"/>
    <col min="5" max="5" width="14.69921875" style="8" customWidth="1"/>
    <col min="6" max="7" width="12.3984375" bestFit="1" customWidth="1"/>
    <col min="9" max="9" width="21.19921875" customWidth="1"/>
    <col min="10" max="10" width="14" customWidth="1"/>
  </cols>
  <sheetData>
    <row r="1" spans="1:10" x14ac:dyDescent="0.3">
      <c r="A1" s="3" t="s">
        <v>1795</v>
      </c>
      <c r="B1" s="3" t="s">
        <v>1796</v>
      </c>
      <c r="C1" s="3" t="s">
        <v>1797</v>
      </c>
      <c r="D1" s="3" t="s">
        <v>6</v>
      </c>
      <c r="E1" s="6" t="s">
        <v>1</v>
      </c>
      <c r="F1" s="8">
        <f>SUM(E:E)</f>
        <v>7040400</v>
      </c>
      <c r="I1" s="2" t="s">
        <v>1798</v>
      </c>
      <c r="J1" s="2" t="s">
        <v>1799</v>
      </c>
    </row>
    <row r="2" spans="1:10" x14ac:dyDescent="0.3">
      <c r="A2" s="4">
        <v>1</v>
      </c>
      <c r="B2" s="4" t="s">
        <v>21</v>
      </c>
      <c r="C2" s="4" t="s">
        <v>22</v>
      </c>
      <c r="D2" s="4" t="s">
        <v>20</v>
      </c>
      <c r="E2" s="7">
        <v>211000</v>
      </c>
      <c r="I2" s="4" t="s">
        <v>21</v>
      </c>
      <c r="J2" s="7">
        <v>211000</v>
      </c>
    </row>
    <row r="3" spans="1:10" x14ac:dyDescent="0.3">
      <c r="A3" s="4">
        <v>2</v>
      </c>
      <c r="B3" s="4" t="s">
        <v>30</v>
      </c>
      <c r="C3" s="4" t="s">
        <v>31</v>
      </c>
      <c r="D3" s="4" t="s">
        <v>29</v>
      </c>
      <c r="E3" s="7">
        <v>180000</v>
      </c>
      <c r="I3" s="4" t="s">
        <v>30</v>
      </c>
      <c r="J3" s="7">
        <v>180000</v>
      </c>
    </row>
    <row r="4" spans="1:10" x14ac:dyDescent="0.3">
      <c r="A4" s="4">
        <v>3</v>
      </c>
      <c r="B4" s="4" t="s">
        <v>38</v>
      </c>
      <c r="C4" s="4" t="s">
        <v>31</v>
      </c>
      <c r="D4" s="4" t="s">
        <v>37</v>
      </c>
      <c r="E4" s="7">
        <v>114000</v>
      </c>
      <c r="I4" s="4" t="s">
        <v>38</v>
      </c>
      <c r="J4" s="7">
        <v>114000</v>
      </c>
    </row>
    <row r="5" spans="1:10" x14ac:dyDescent="0.3">
      <c r="A5" s="4">
        <v>4</v>
      </c>
      <c r="B5" s="4" t="s">
        <v>43</v>
      </c>
      <c r="C5" s="4" t="s">
        <v>31</v>
      </c>
      <c r="D5" s="4" t="s">
        <v>37</v>
      </c>
      <c r="E5" s="7">
        <v>107000</v>
      </c>
      <c r="I5" s="4" t="s">
        <v>43</v>
      </c>
      <c r="J5" s="7">
        <v>107000</v>
      </c>
    </row>
    <row r="6" spans="1:10" x14ac:dyDescent="0.3">
      <c r="A6" s="4">
        <v>5</v>
      </c>
      <c r="B6" s="4" t="s">
        <v>49</v>
      </c>
      <c r="C6" s="4" t="s">
        <v>31</v>
      </c>
      <c r="D6" s="4" t="s">
        <v>48</v>
      </c>
      <c r="E6" s="7">
        <v>106000</v>
      </c>
      <c r="I6" s="4" t="s">
        <v>49</v>
      </c>
      <c r="J6" s="7">
        <v>106000</v>
      </c>
    </row>
    <row r="7" spans="1:10" x14ac:dyDescent="0.3">
      <c r="A7" s="4">
        <v>6</v>
      </c>
      <c r="B7" s="4" t="s">
        <v>54</v>
      </c>
      <c r="C7" s="4" t="s">
        <v>31</v>
      </c>
      <c r="D7" s="4" t="s">
        <v>37</v>
      </c>
      <c r="E7" s="7">
        <v>104000</v>
      </c>
      <c r="I7" s="4" t="s">
        <v>54</v>
      </c>
      <c r="J7" s="7">
        <v>104000</v>
      </c>
    </row>
    <row r="8" spans="1:10" x14ac:dyDescent="0.3">
      <c r="A8" s="4">
        <v>7</v>
      </c>
      <c r="B8" s="4" t="s">
        <v>59</v>
      </c>
      <c r="C8" s="4" t="s">
        <v>31</v>
      </c>
      <c r="D8" s="4" t="s">
        <v>58</v>
      </c>
      <c r="E8" s="7">
        <v>94500</v>
      </c>
      <c r="I8" s="4" t="s">
        <v>59</v>
      </c>
      <c r="J8" s="7">
        <v>94500</v>
      </c>
    </row>
    <row r="9" spans="1:10" x14ac:dyDescent="0.3">
      <c r="A9" s="4">
        <v>8</v>
      </c>
      <c r="B9" s="4" t="s">
        <v>65</v>
      </c>
      <c r="C9" s="4" t="s">
        <v>66</v>
      </c>
      <c r="D9" s="4" t="s">
        <v>64</v>
      </c>
      <c r="E9" s="7">
        <v>93000</v>
      </c>
      <c r="I9" s="4" t="s">
        <v>65</v>
      </c>
      <c r="J9" s="7">
        <v>93000</v>
      </c>
    </row>
    <row r="10" spans="1:10" x14ac:dyDescent="0.3">
      <c r="A10" s="4">
        <v>9</v>
      </c>
      <c r="B10" s="4" t="s">
        <v>72</v>
      </c>
      <c r="C10" s="4" t="s">
        <v>73</v>
      </c>
      <c r="D10" s="4" t="s">
        <v>71</v>
      </c>
      <c r="E10" s="7">
        <v>83400</v>
      </c>
      <c r="I10" s="4" t="s">
        <v>72</v>
      </c>
      <c r="J10" s="7">
        <v>83400</v>
      </c>
    </row>
    <row r="11" spans="1:10" x14ac:dyDescent="0.3">
      <c r="A11" s="4">
        <v>10</v>
      </c>
      <c r="B11" s="4" t="s">
        <v>78</v>
      </c>
      <c r="C11" s="4" t="s">
        <v>31</v>
      </c>
      <c r="D11" s="4" t="s">
        <v>37</v>
      </c>
      <c r="E11" s="7">
        <v>80700</v>
      </c>
      <c r="I11" s="4" t="s">
        <v>78</v>
      </c>
      <c r="J11" s="7">
        <v>80700</v>
      </c>
    </row>
    <row r="12" spans="1:10" x14ac:dyDescent="0.3">
      <c r="A12" s="4">
        <v>11</v>
      </c>
      <c r="B12" s="4" t="s">
        <v>82</v>
      </c>
      <c r="C12" s="4" t="s">
        <v>22</v>
      </c>
      <c r="D12" s="4" t="s">
        <v>20</v>
      </c>
      <c r="E12" s="7">
        <v>80500</v>
      </c>
    </row>
    <row r="13" spans="1:10" x14ac:dyDescent="0.3">
      <c r="A13" s="4">
        <v>12</v>
      </c>
      <c r="B13" s="4" t="s">
        <v>87</v>
      </c>
      <c r="C13" s="4" t="s">
        <v>31</v>
      </c>
      <c r="D13" s="4" t="s">
        <v>37</v>
      </c>
      <c r="E13" s="7">
        <v>79200</v>
      </c>
    </row>
    <row r="14" spans="1:10" x14ac:dyDescent="0.3">
      <c r="A14" s="4">
        <v>13</v>
      </c>
      <c r="B14" s="4" t="s">
        <v>91</v>
      </c>
      <c r="C14" s="4" t="s">
        <v>92</v>
      </c>
      <c r="D14" s="4" t="s">
        <v>20</v>
      </c>
      <c r="E14" s="7">
        <v>77300</v>
      </c>
    </row>
    <row r="15" spans="1:10" x14ac:dyDescent="0.3">
      <c r="A15" s="4">
        <v>14</v>
      </c>
      <c r="B15" s="4" t="s">
        <v>98</v>
      </c>
      <c r="C15" s="4" t="s">
        <v>31</v>
      </c>
      <c r="D15" s="4" t="s">
        <v>37</v>
      </c>
      <c r="E15" s="7">
        <v>76000</v>
      </c>
    </row>
    <row r="16" spans="1:10" x14ac:dyDescent="0.3">
      <c r="A16" s="4">
        <v>15</v>
      </c>
      <c r="B16" s="4" t="s">
        <v>103</v>
      </c>
      <c r="C16" s="4" t="s">
        <v>104</v>
      </c>
      <c r="D16" s="4" t="s">
        <v>102</v>
      </c>
      <c r="E16" s="7">
        <v>68000</v>
      </c>
    </row>
    <row r="17" spans="1:7" x14ac:dyDescent="0.3">
      <c r="A17" s="4">
        <v>16</v>
      </c>
      <c r="B17" s="4" t="s">
        <v>110</v>
      </c>
      <c r="C17" s="4" t="s">
        <v>31</v>
      </c>
      <c r="D17" s="4" t="s">
        <v>37</v>
      </c>
      <c r="E17" s="7">
        <v>64400</v>
      </c>
      <c r="G17" s="8">
        <f>F1</f>
        <v>7040400</v>
      </c>
    </row>
    <row r="18" spans="1:7" x14ac:dyDescent="0.3">
      <c r="A18" s="4">
        <v>17</v>
      </c>
      <c r="B18" s="4" t="s">
        <v>114</v>
      </c>
      <c r="C18" s="4" t="s">
        <v>31</v>
      </c>
      <c r="D18" s="4" t="s">
        <v>71</v>
      </c>
      <c r="E18" s="7">
        <v>59000</v>
      </c>
    </row>
    <row r="19" spans="1:7" x14ac:dyDescent="0.3">
      <c r="A19" s="4">
        <v>17</v>
      </c>
      <c r="B19" s="4" t="s">
        <v>119</v>
      </c>
      <c r="C19" s="4" t="s">
        <v>31</v>
      </c>
      <c r="D19" s="4" t="s">
        <v>71</v>
      </c>
      <c r="E19" s="7">
        <v>59000</v>
      </c>
    </row>
    <row r="20" spans="1:7" x14ac:dyDescent="0.3">
      <c r="A20" s="4">
        <v>19</v>
      </c>
      <c r="B20" s="4" t="s">
        <v>121</v>
      </c>
      <c r="C20" s="4" t="s">
        <v>31</v>
      </c>
      <c r="D20" s="4" t="s">
        <v>20</v>
      </c>
      <c r="E20" s="7">
        <v>58800</v>
      </c>
    </row>
    <row r="21" spans="1:7" x14ac:dyDescent="0.3">
      <c r="A21" s="4">
        <v>20</v>
      </c>
      <c r="B21" s="4" t="s">
        <v>126</v>
      </c>
      <c r="C21" s="4" t="s">
        <v>31</v>
      </c>
      <c r="D21" s="4" t="s">
        <v>20</v>
      </c>
      <c r="E21" s="7">
        <v>57600</v>
      </c>
    </row>
    <row r="22" spans="1:7" x14ac:dyDescent="0.3">
      <c r="A22" s="4">
        <v>21</v>
      </c>
      <c r="B22" s="4" t="s">
        <v>128</v>
      </c>
      <c r="C22" s="4" t="s">
        <v>31</v>
      </c>
      <c r="D22" s="4" t="s">
        <v>20</v>
      </c>
      <c r="E22" s="7">
        <v>56700</v>
      </c>
    </row>
    <row r="23" spans="1:7" x14ac:dyDescent="0.3">
      <c r="A23" s="4">
        <v>22</v>
      </c>
      <c r="B23" s="4" t="s">
        <v>131</v>
      </c>
      <c r="C23" s="4" t="s">
        <v>132</v>
      </c>
      <c r="D23" s="4" t="s">
        <v>58</v>
      </c>
      <c r="E23" s="7">
        <v>54400</v>
      </c>
    </row>
    <row r="24" spans="1:7" x14ac:dyDescent="0.3">
      <c r="A24" s="4">
        <v>23</v>
      </c>
      <c r="B24" s="4" t="s">
        <v>138</v>
      </c>
      <c r="C24" s="4" t="s">
        <v>31</v>
      </c>
      <c r="D24" s="4" t="s">
        <v>37</v>
      </c>
      <c r="E24" s="7">
        <v>50100</v>
      </c>
    </row>
    <row r="25" spans="1:7" x14ac:dyDescent="0.3">
      <c r="A25" s="4">
        <v>24</v>
      </c>
      <c r="B25" s="4" t="s">
        <v>141</v>
      </c>
      <c r="C25" s="4" t="s">
        <v>73</v>
      </c>
      <c r="D25" s="4" t="s">
        <v>71</v>
      </c>
      <c r="E25" s="7">
        <v>47200</v>
      </c>
    </row>
    <row r="26" spans="1:7" x14ac:dyDescent="0.3">
      <c r="A26" s="4">
        <v>25</v>
      </c>
      <c r="B26" s="4" t="s">
        <v>146</v>
      </c>
      <c r="C26" s="4" t="s">
        <v>31</v>
      </c>
      <c r="D26" s="4" t="s">
        <v>20</v>
      </c>
      <c r="E26" s="7">
        <v>45100</v>
      </c>
    </row>
    <row r="27" spans="1:7" x14ac:dyDescent="0.3">
      <c r="A27" s="4">
        <v>26</v>
      </c>
      <c r="B27" s="4" t="s">
        <v>151</v>
      </c>
      <c r="C27" s="4" t="s">
        <v>104</v>
      </c>
      <c r="D27" s="4" t="s">
        <v>37</v>
      </c>
      <c r="E27" s="7">
        <v>45000</v>
      </c>
    </row>
    <row r="28" spans="1:7" x14ac:dyDescent="0.3">
      <c r="A28" s="4">
        <v>27</v>
      </c>
      <c r="B28" s="4" t="s">
        <v>156</v>
      </c>
      <c r="C28" s="4" t="s">
        <v>157</v>
      </c>
      <c r="D28" s="4" t="s">
        <v>20</v>
      </c>
      <c r="E28" s="7">
        <v>42900</v>
      </c>
    </row>
    <row r="29" spans="1:7" x14ac:dyDescent="0.3">
      <c r="A29" s="4">
        <v>28</v>
      </c>
      <c r="B29" s="4" t="s">
        <v>163</v>
      </c>
      <c r="C29" s="4" t="s">
        <v>22</v>
      </c>
      <c r="D29" s="4" t="s">
        <v>20</v>
      </c>
      <c r="E29" s="7">
        <v>40100</v>
      </c>
    </row>
    <row r="30" spans="1:7" x14ac:dyDescent="0.3">
      <c r="A30" s="4">
        <v>29</v>
      </c>
      <c r="B30" s="4" t="s">
        <v>168</v>
      </c>
      <c r="C30" s="4" t="s">
        <v>169</v>
      </c>
      <c r="D30" s="4" t="s">
        <v>167</v>
      </c>
      <c r="E30" s="7">
        <v>39100</v>
      </c>
    </row>
    <row r="31" spans="1:7" x14ac:dyDescent="0.3">
      <c r="A31" s="4">
        <v>30</v>
      </c>
      <c r="B31" s="4" t="s">
        <v>175</v>
      </c>
      <c r="C31" s="4" t="s">
        <v>176</v>
      </c>
      <c r="D31" s="4" t="s">
        <v>102</v>
      </c>
      <c r="E31" s="7">
        <v>38900</v>
      </c>
    </row>
    <row r="32" spans="1:7" x14ac:dyDescent="0.3">
      <c r="A32" s="4">
        <v>31</v>
      </c>
      <c r="B32" s="4" t="s">
        <v>182</v>
      </c>
      <c r="C32" s="4" t="s">
        <v>31</v>
      </c>
      <c r="D32" s="4" t="s">
        <v>102</v>
      </c>
      <c r="E32" s="7">
        <v>38300</v>
      </c>
    </row>
    <row r="33" spans="1:5" x14ac:dyDescent="0.3">
      <c r="A33" s="4">
        <v>31</v>
      </c>
      <c r="B33" s="4" t="s">
        <v>187</v>
      </c>
      <c r="C33" s="4" t="s">
        <v>31</v>
      </c>
      <c r="D33" s="4" t="s">
        <v>102</v>
      </c>
      <c r="E33" s="7">
        <v>38300</v>
      </c>
    </row>
    <row r="34" spans="1:5" x14ac:dyDescent="0.3">
      <c r="A34" s="4">
        <v>34</v>
      </c>
      <c r="B34" s="4" t="s">
        <v>190</v>
      </c>
      <c r="C34" s="4" t="s">
        <v>104</v>
      </c>
      <c r="D34" s="4" t="s">
        <v>37</v>
      </c>
      <c r="E34" s="7">
        <v>35300</v>
      </c>
    </row>
    <row r="35" spans="1:5" x14ac:dyDescent="0.3">
      <c r="A35" s="4">
        <v>35</v>
      </c>
      <c r="B35" s="4" t="s">
        <v>196</v>
      </c>
      <c r="C35" s="4" t="s">
        <v>31</v>
      </c>
      <c r="D35" s="4" t="s">
        <v>195</v>
      </c>
      <c r="E35" s="7">
        <v>35000</v>
      </c>
    </row>
    <row r="36" spans="1:5" x14ac:dyDescent="0.3">
      <c r="A36" s="4">
        <v>35</v>
      </c>
      <c r="B36" s="4" t="s">
        <v>201</v>
      </c>
      <c r="C36" s="4" t="s">
        <v>31</v>
      </c>
      <c r="D36" s="4" t="s">
        <v>48</v>
      </c>
      <c r="E36" s="7">
        <v>35000</v>
      </c>
    </row>
    <row r="37" spans="1:5" x14ac:dyDescent="0.3">
      <c r="A37" s="4">
        <v>37</v>
      </c>
      <c r="B37" s="4" t="s">
        <v>206</v>
      </c>
      <c r="C37" s="4" t="s">
        <v>207</v>
      </c>
      <c r="D37" s="4" t="s">
        <v>102</v>
      </c>
      <c r="E37" s="7">
        <v>34700</v>
      </c>
    </row>
    <row r="38" spans="1:5" x14ac:dyDescent="0.3">
      <c r="A38" s="4">
        <v>38</v>
      </c>
      <c r="B38" s="4" t="s">
        <v>212</v>
      </c>
      <c r="C38" s="4" t="s">
        <v>104</v>
      </c>
      <c r="D38" s="4" t="s">
        <v>29</v>
      </c>
      <c r="E38" s="7">
        <v>33400</v>
      </c>
    </row>
    <row r="39" spans="1:5" x14ac:dyDescent="0.3">
      <c r="A39" s="4">
        <v>39</v>
      </c>
      <c r="B39" s="4" t="s">
        <v>217</v>
      </c>
      <c r="C39" s="4" t="s">
        <v>218</v>
      </c>
      <c r="D39" s="4" t="s">
        <v>20</v>
      </c>
      <c r="E39" s="7">
        <v>32600</v>
      </c>
    </row>
    <row r="40" spans="1:5" x14ac:dyDescent="0.3">
      <c r="A40" s="4">
        <v>40</v>
      </c>
      <c r="B40" s="4" t="s">
        <v>224</v>
      </c>
      <c r="C40" s="4" t="s">
        <v>225</v>
      </c>
      <c r="D40" s="4" t="s">
        <v>71</v>
      </c>
      <c r="E40" s="7">
        <v>32100</v>
      </c>
    </row>
    <row r="41" spans="1:5" x14ac:dyDescent="0.3">
      <c r="A41" s="4">
        <v>41</v>
      </c>
      <c r="B41" s="4" t="s">
        <v>231</v>
      </c>
      <c r="C41" s="4" t="s">
        <v>31</v>
      </c>
      <c r="D41" s="4" t="s">
        <v>20</v>
      </c>
      <c r="E41" s="7">
        <v>31600</v>
      </c>
    </row>
    <row r="42" spans="1:5" x14ac:dyDescent="0.3">
      <c r="A42" s="4">
        <v>41</v>
      </c>
      <c r="B42" s="4" t="s">
        <v>235</v>
      </c>
      <c r="C42" s="4" t="s">
        <v>31</v>
      </c>
      <c r="D42" s="4" t="s">
        <v>20</v>
      </c>
      <c r="E42" s="7">
        <v>31600</v>
      </c>
    </row>
    <row r="43" spans="1:5" x14ac:dyDescent="0.3">
      <c r="A43" s="4">
        <v>43</v>
      </c>
      <c r="B43" s="4" t="s">
        <v>237</v>
      </c>
      <c r="C43" s="4" t="s">
        <v>169</v>
      </c>
      <c r="D43" s="4" t="s">
        <v>167</v>
      </c>
      <c r="E43" s="7">
        <v>31200</v>
      </c>
    </row>
    <row r="44" spans="1:5" x14ac:dyDescent="0.3">
      <c r="A44" s="4">
        <v>43</v>
      </c>
      <c r="B44" s="4" t="s">
        <v>241</v>
      </c>
      <c r="C44" s="4" t="s">
        <v>169</v>
      </c>
      <c r="D44" s="4" t="s">
        <v>167</v>
      </c>
      <c r="E44" s="7">
        <v>31200</v>
      </c>
    </row>
    <row r="45" spans="1:5" x14ac:dyDescent="0.3">
      <c r="A45" s="4">
        <v>45</v>
      </c>
      <c r="B45" s="4" t="s">
        <v>244</v>
      </c>
      <c r="C45" s="4" t="s">
        <v>104</v>
      </c>
      <c r="D45" s="4" t="s">
        <v>37</v>
      </c>
      <c r="E45" s="7">
        <v>30200</v>
      </c>
    </row>
    <row r="46" spans="1:5" x14ac:dyDescent="0.3">
      <c r="A46" s="4">
        <v>46</v>
      </c>
      <c r="B46" s="4" t="s">
        <v>250</v>
      </c>
      <c r="C46" s="4" t="s">
        <v>157</v>
      </c>
      <c r="D46" s="4" t="s">
        <v>249</v>
      </c>
      <c r="E46" s="7">
        <v>29700</v>
      </c>
    </row>
    <row r="47" spans="1:5" x14ac:dyDescent="0.3">
      <c r="A47" s="4">
        <v>48</v>
      </c>
      <c r="B47" s="4" t="s">
        <v>255</v>
      </c>
      <c r="C47" s="4" t="s">
        <v>31</v>
      </c>
      <c r="D47" s="4" t="s">
        <v>48</v>
      </c>
      <c r="E47" s="7">
        <v>28500</v>
      </c>
    </row>
    <row r="48" spans="1:5" x14ac:dyDescent="0.3">
      <c r="A48" s="4">
        <v>49</v>
      </c>
      <c r="B48" s="4" t="s">
        <v>259</v>
      </c>
      <c r="C48" s="4" t="s">
        <v>31</v>
      </c>
      <c r="D48" s="4" t="s">
        <v>48</v>
      </c>
      <c r="E48" s="7">
        <v>28100</v>
      </c>
    </row>
    <row r="49" spans="1:5" x14ac:dyDescent="0.3">
      <c r="A49" s="4">
        <v>50</v>
      </c>
      <c r="B49" s="4" t="s">
        <v>262</v>
      </c>
      <c r="C49" s="4" t="s">
        <v>31</v>
      </c>
      <c r="D49" s="4" t="s">
        <v>48</v>
      </c>
      <c r="E49" s="7">
        <v>27800</v>
      </c>
    </row>
    <row r="50" spans="1:5" x14ac:dyDescent="0.3">
      <c r="A50" s="4">
        <v>51</v>
      </c>
      <c r="B50" s="4" t="s">
        <v>266</v>
      </c>
      <c r="C50" s="4" t="s">
        <v>157</v>
      </c>
      <c r="D50" s="4" t="s">
        <v>29</v>
      </c>
      <c r="E50" s="7">
        <v>27400</v>
      </c>
    </row>
    <row r="51" spans="1:5" x14ac:dyDescent="0.3">
      <c r="A51" s="4">
        <v>52</v>
      </c>
      <c r="B51" s="4" t="s">
        <v>272</v>
      </c>
      <c r="C51" s="4" t="s">
        <v>273</v>
      </c>
      <c r="D51" s="4" t="s">
        <v>271</v>
      </c>
      <c r="E51" s="7">
        <v>27000</v>
      </c>
    </row>
    <row r="52" spans="1:5" x14ac:dyDescent="0.3">
      <c r="A52" s="4">
        <v>53</v>
      </c>
      <c r="B52" s="4" t="s">
        <v>279</v>
      </c>
      <c r="C52" s="4" t="s">
        <v>104</v>
      </c>
      <c r="D52" s="4" t="s">
        <v>37</v>
      </c>
      <c r="E52" s="7">
        <v>26700</v>
      </c>
    </row>
    <row r="53" spans="1:5" x14ac:dyDescent="0.3">
      <c r="A53" s="4">
        <v>54</v>
      </c>
      <c r="B53" s="4" t="s">
        <v>283</v>
      </c>
      <c r="C53" s="4" t="s">
        <v>66</v>
      </c>
      <c r="D53" s="4" t="s">
        <v>271</v>
      </c>
      <c r="E53" s="7">
        <v>26600</v>
      </c>
    </row>
    <row r="54" spans="1:5" x14ac:dyDescent="0.3">
      <c r="A54" s="4">
        <v>55</v>
      </c>
      <c r="B54" s="4" t="s">
        <v>286</v>
      </c>
      <c r="C54" s="4" t="s">
        <v>73</v>
      </c>
      <c r="D54" s="4" t="s">
        <v>37</v>
      </c>
      <c r="E54" s="7">
        <v>25600</v>
      </c>
    </row>
    <row r="55" spans="1:5" x14ac:dyDescent="0.3">
      <c r="A55" s="4">
        <v>56</v>
      </c>
      <c r="B55" s="4" t="s">
        <v>292</v>
      </c>
      <c r="C55" s="4" t="s">
        <v>293</v>
      </c>
      <c r="D55" s="4" t="s">
        <v>291</v>
      </c>
      <c r="E55" s="7">
        <v>25500</v>
      </c>
    </row>
    <row r="56" spans="1:5" x14ac:dyDescent="0.3">
      <c r="A56" s="4">
        <v>57</v>
      </c>
      <c r="B56" s="4" t="s">
        <v>299</v>
      </c>
      <c r="C56" s="4" t="s">
        <v>31</v>
      </c>
      <c r="D56" s="4" t="s">
        <v>48</v>
      </c>
      <c r="E56" s="7">
        <v>25300</v>
      </c>
    </row>
    <row r="57" spans="1:5" x14ac:dyDescent="0.3">
      <c r="A57" s="4">
        <v>58</v>
      </c>
      <c r="B57" s="4" t="s">
        <v>304</v>
      </c>
      <c r="C57" s="4" t="s">
        <v>305</v>
      </c>
      <c r="D57" s="4" t="s">
        <v>271</v>
      </c>
      <c r="E57" s="7">
        <v>25200</v>
      </c>
    </row>
    <row r="58" spans="1:5" x14ac:dyDescent="0.3">
      <c r="A58" s="4">
        <v>59</v>
      </c>
      <c r="B58" s="4" t="s">
        <v>311</v>
      </c>
      <c r="C58" s="4" t="s">
        <v>157</v>
      </c>
      <c r="D58" s="4" t="s">
        <v>29</v>
      </c>
      <c r="E58" s="7">
        <v>24600</v>
      </c>
    </row>
    <row r="59" spans="1:5" x14ac:dyDescent="0.3">
      <c r="A59" s="4">
        <v>60</v>
      </c>
      <c r="B59" s="4" t="s">
        <v>316</v>
      </c>
      <c r="C59" s="4" t="s">
        <v>31</v>
      </c>
      <c r="D59" s="4" t="s">
        <v>37</v>
      </c>
      <c r="E59" s="7">
        <v>24400</v>
      </c>
    </row>
    <row r="60" spans="1:5" x14ac:dyDescent="0.3">
      <c r="A60" s="4">
        <v>61</v>
      </c>
      <c r="B60" s="4" t="s">
        <v>320</v>
      </c>
      <c r="C60" s="4" t="s">
        <v>293</v>
      </c>
      <c r="D60" s="4" t="s">
        <v>48</v>
      </c>
      <c r="E60" s="7">
        <v>24200</v>
      </c>
    </row>
    <row r="61" spans="1:5" x14ac:dyDescent="0.3">
      <c r="A61" s="4">
        <v>62</v>
      </c>
      <c r="B61" s="4" t="s">
        <v>325</v>
      </c>
      <c r="C61" s="4" t="s">
        <v>326</v>
      </c>
      <c r="D61" s="4" t="s">
        <v>271</v>
      </c>
      <c r="E61" s="7">
        <v>23700</v>
      </c>
    </row>
    <row r="62" spans="1:5" x14ac:dyDescent="0.3">
      <c r="A62" s="4">
        <v>63</v>
      </c>
      <c r="B62" s="4" t="s">
        <v>332</v>
      </c>
      <c r="C62" s="4" t="s">
        <v>104</v>
      </c>
      <c r="D62" s="4" t="s">
        <v>37</v>
      </c>
      <c r="E62" s="7">
        <v>23500</v>
      </c>
    </row>
    <row r="63" spans="1:5" x14ac:dyDescent="0.3">
      <c r="A63" s="4">
        <v>64</v>
      </c>
      <c r="B63" s="4" t="s">
        <v>334</v>
      </c>
      <c r="C63" s="4" t="s">
        <v>104</v>
      </c>
      <c r="D63" s="4" t="s">
        <v>249</v>
      </c>
      <c r="E63" s="7">
        <v>23400</v>
      </c>
    </row>
    <row r="64" spans="1:5" x14ac:dyDescent="0.3">
      <c r="A64" s="4">
        <v>65</v>
      </c>
      <c r="B64" s="4" t="s">
        <v>339</v>
      </c>
      <c r="C64" s="4" t="s">
        <v>340</v>
      </c>
      <c r="D64" s="4" t="s">
        <v>271</v>
      </c>
      <c r="E64" s="7">
        <v>23100</v>
      </c>
    </row>
    <row r="65" spans="1:5" x14ac:dyDescent="0.3">
      <c r="A65" s="4">
        <v>65</v>
      </c>
      <c r="B65" s="4" t="s">
        <v>345</v>
      </c>
      <c r="C65" s="4" t="s">
        <v>293</v>
      </c>
      <c r="D65" s="4" t="s">
        <v>249</v>
      </c>
      <c r="E65" s="7">
        <v>23100</v>
      </c>
    </row>
    <row r="66" spans="1:5" x14ac:dyDescent="0.3">
      <c r="A66" s="4">
        <v>67</v>
      </c>
      <c r="B66" s="4" t="s">
        <v>346</v>
      </c>
      <c r="C66" s="4" t="s">
        <v>225</v>
      </c>
      <c r="D66" s="4" t="s">
        <v>249</v>
      </c>
      <c r="E66" s="7">
        <v>22900</v>
      </c>
    </row>
    <row r="67" spans="1:5" x14ac:dyDescent="0.3">
      <c r="A67" s="4">
        <v>68</v>
      </c>
      <c r="B67" s="4" t="s">
        <v>351</v>
      </c>
      <c r="C67" s="4" t="s">
        <v>73</v>
      </c>
      <c r="D67" s="4" t="s">
        <v>350</v>
      </c>
      <c r="E67" s="7">
        <v>22600</v>
      </c>
    </row>
    <row r="68" spans="1:5" x14ac:dyDescent="0.3">
      <c r="A68" s="4">
        <v>69</v>
      </c>
      <c r="B68" s="4" t="s">
        <v>356</v>
      </c>
      <c r="C68" s="4" t="s">
        <v>218</v>
      </c>
      <c r="D68" s="4" t="s">
        <v>64</v>
      </c>
      <c r="E68" s="7">
        <v>22400</v>
      </c>
    </row>
    <row r="69" spans="1:5" x14ac:dyDescent="0.3">
      <c r="A69" s="4">
        <v>70</v>
      </c>
      <c r="B69" s="4" t="s">
        <v>360</v>
      </c>
      <c r="C69" s="4" t="s">
        <v>326</v>
      </c>
      <c r="D69" s="4" t="s">
        <v>271</v>
      </c>
      <c r="E69" s="7">
        <v>22100</v>
      </c>
    </row>
    <row r="70" spans="1:5" x14ac:dyDescent="0.3">
      <c r="A70" s="4">
        <v>71</v>
      </c>
      <c r="B70" s="4" t="s">
        <v>363</v>
      </c>
      <c r="C70" s="4" t="s">
        <v>22</v>
      </c>
      <c r="D70" s="4" t="s">
        <v>102</v>
      </c>
      <c r="E70" s="7">
        <v>22000</v>
      </c>
    </row>
    <row r="71" spans="1:5" x14ac:dyDescent="0.3">
      <c r="A71" s="4">
        <v>72</v>
      </c>
      <c r="B71" s="4" t="s">
        <v>368</v>
      </c>
      <c r="C71" s="4" t="s">
        <v>31</v>
      </c>
      <c r="D71" s="4" t="s">
        <v>48</v>
      </c>
      <c r="E71" s="7">
        <v>21600</v>
      </c>
    </row>
    <row r="72" spans="1:5" x14ac:dyDescent="0.3">
      <c r="A72" s="4">
        <v>72</v>
      </c>
      <c r="B72" s="4" t="s">
        <v>373</v>
      </c>
      <c r="C72" s="4" t="s">
        <v>326</v>
      </c>
      <c r="D72" s="4" t="s">
        <v>291</v>
      </c>
      <c r="E72" s="7">
        <v>21600</v>
      </c>
    </row>
    <row r="73" spans="1:5" x14ac:dyDescent="0.3">
      <c r="A73" s="4">
        <v>74</v>
      </c>
      <c r="B73" s="4" t="s">
        <v>377</v>
      </c>
      <c r="C73" s="4" t="s">
        <v>31</v>
      </c>
      <c r="D73" s="4" t="s">
        <v>20</v>
      </c>
      <c r="E73" s="7">
        <v>21200</v>
      </c>
    </row>
    <row r="74" spans="1:5" x14ac:dyDescent="0.3">
      <c r="A74" s="4">
        <v>74</v>
      </c>
      <c r="B74" s="4" t="s">
        <v>381</v>
      </c>
      <c r="C74" s="4" t="s">
        <v>104</v>
      </c>
      <c r="D74" s="4" t="s">
        <v>380</v>
      </c>
      <c r="E74" s="7">
        <v>21200</v>
      </c>
    </row>
    <row r="75" spans="1:5" x14ac:dyDescent="0.3">
      <c r="A75" s="4">
        <v>76</v>
      </c>
      <c r="B75" s="4" t="s">
        <v>385</v>
      </c>
      <c r="C75" s="4" t="s">
        <v>31</v>
      </c>
      <c r="D75" s="4" t="s">
        <v>37</v>
      </c>
      <c r="E75" s="7">
        <v>21100</v>
      </c>
    </row>
    <row r="76" spans="1:5" x14ac:dyDescent="0.3">
      <c r="A76" s="4">
        <v>77</v>
      </c>
      <c r="B76" s="4" t="s">
        <v>388</v>
      </c>
      <c r="C76" s="4" t="s">
        <v>31</v>
      </c>
      <c r="D76" s="4" t="s">
        <v>20</v>
      </c>
      <c r="E76" s="7">
        <v>21000</v>
      </c>
    </row>
    <row r="77" spans="1:5" x14ac:dyDescent="0.3">
      <c r="A77" s="4">
        <v>77</v>
      </c>
      <c r="B77" s="4" t="s">
        <v>392</v>
      </c>
      <c r="C77" s="4" t="s">
        <v>218</v>
      </c>
      <c r="D77" s="4" t="s">
        <v>249</v>
      </c>
      <c r="E77" s="7">
        <v>21000</v>
      </c>
    </row>
    <row r="78" spans="1:5" x14ac:dyDescent="0.3">
      <c r="A78" s="4">
        <v>79</v>
      </c>
      <c r="B78" s="4" t="s">
        <v>397</v>
      </c>
      <c r="C78" s="4" t="s">
        <v>326</v>
      </c>
      <c r="D78" s="4" t="s">
        <v>271</v>
      </c>
      <c r="E78" s="7">
        <v>20900</v>
      </c>
    </row>
    <row r="79" spans="1:5" x14ac:dyDescent="0.3">
      <c r="A79" s="4">
        <v>80</v>
      </c>
      <c r="B79" s="4" t="s">
        <v>401</v>
      </c>
      <c r="C79" s="4" t="s">
        <v>326</v>
      </c>
      <c r="D79" s="4" t="s">
        <v>291</v>
      </c>
      <c r="E79" s="7">
        <v>20500</v>
      </c>
    </row>
    <row r="80" spans="1:5" x14ac:dyDescent="0.3">
      <c r="A80" s="4">
        <v>81</v>
      </c>
      <c r="B80" s="4" t="s">
        <v>405</v>
      </c>
      <c r="C80" s="4" t="s">
        <v>31</v>
      </c>
      <c r="D80" s="4" t="s">
        <v>350</v>
      </c>
      <c r="E80" s="7">
        <v>20200</v>
      </c>
    </row>
    <row r="81" spans="1:5" x14ac:dyDescent="0.3">
      <c r="A81" s="4">
        <v>82</v>
      </c>
      <c r="B81" s="4" t="s">
        <v>409</v>
      </c>
      <c r="C81" s="4" t="s">
        <v>273</v>
      </c>
      <c r="D81" s="4" t="s">
        <v>271</v>
      </c>
      <c r="E81" s="7">
        <v>19600</v>
      </c>
    </row>
    <row r="82" spans="1:5" x14ac:dyDescent="0.3">
      <c r="A82" s="4">
        <v>83</v>
      </c>
      <c r="B82" s="4" t="s">
        <v>412</v>
      </c>
      <c r="C82" s="4" t="s">
        <v>31</v>
      </c>
      <c r="D82" s="4" t="s">
        <v>48</v>
      </c>
      <c r="E82" s="7">
        <v>19100</v>
      </c>
    </row>
    <row r="83" spans="1:5" x14ac:dyDescent="0.3">
      <c r="A83" s="4">
        <v>84</v>
      </c>
      <c r="B83" s="4" t="s">
        <v>416</v>
      </c>
      <c r="C83" s="4" t="s">
        <v>104</v>
      </c>
      <c r="D83" s="4" t="s">
        <v>29</v>
      </c>
      <c r="E83" s="7">
        <v>19000</v>
      </c>
    </row>
    <row r="84" spans="1:5" x14ac:dyDescent="0.3">
      <c r="A84" s="4">
        <v>84</v>
      </c>
      <c r="B84" s="4" t="s">
        <v>420</v>
      </c>
      <c r="C84" s="4" t="s">
        <v>104</v>
      </c>
      <c r="D84" s="4" t="s">
        <v>271</v>
      </c>
      <c r="E84" s="7">
        <v>19000</v>
      </c>
    </row>
    <row r="85" spans="1:5" x14ac:dyDescent="0.3">
      <c r="A85" s="4">
        <v>86</v>
      </c>
      <c r="B85" s="4" t="s">
        <v>423</v>
      </c>
      <c r="C85" s="4" t="s">
        <v>104</v>
      </c>
      <c r="D85" s="4" t="s">
        <v>102</v>
      </c>
      <c r="E85" s="7">
        <v>18900</v>
      </c>
    </row>
    <row r="86" spans="1:5" x14ac:dyDescent="0.3">
      <c r="A86" s="4">
        <v>88</v>
      </c>
      <c r="B86" s="4" t="s">
        <v>428</v>
      </c>
      <c r="C86" s="4" t="s">
        <v>104</v>
      </c>
      <c r="D86" s="4" t="s">
        <v>29</v>
      </c>
      <c r="E86" s="7">
        <v>18700</v>
      </c>
    </row>
    <row r="87" spans="1:5" x14ac:dyDescent="0.3">
      <c r="A87" s="4">
        <v>89</v>
      </c>
      <c r="B87" s="4" t="s">
        <v>431</v>
      </c>
      <c r="C87" s="4" t="s">
        <v>31</v>
      </c>
      <c r="D87" s="4" t="s">
        <v>291</v>
      </c>
      <c r="E87" s="7">
        <v>18500</v>
      </c>
    </row>
    <row r="88" spans="1:5" x14ac:dyDescent="0.3">
      <c r="A88" s="4">
        <v>89</v>
      </c>
      <c r="B88" s="4" t="s">
        <v>436</v>
      </c>
      <c r="C88" s="4" t="s">
        <v>31</v>
      </c>
      <c r="D88" s="4" t="s">
        <v>48</v>
      </c>
      <c r="E88" s="7">
        <v>18500</v>
      </c>
    </row>
    <row r="89" spans="1:5" x14ac:dyDescent="0.3">
      <c r="A89" s="4">
        <v>89</v>
      </c>
      <c r="B89" s="4" t="s">
        <v>438</v>
      </c>
      <c r="C89" s="4" t="s">
        <v>326</v>
      </c>
      <c r="D89" s="4" t="s">
        <v>291</v>
      </c>
      <c r="E89" s="7">
        <v>18500</v>
      </c>
    </row>
    <row r="90" spans="1:5" x14ac:dyDescent="0.3">
      <c r="A90" s="4">
        <v>92</v>
      </c>
      <c r="B90" s="4" t="s">
        <v>442</v>
      </c>
      <c r="C90" s="4" t="s">
        <v>31</v>
      </c>
      <c r="D90" s="4" t="s">
        <v>48</v>
      </c>
      <c r="E90" s="7">
        <v>18000</v>
      </c>
    </row>
    <row r="91" spans="1:5" x14ac:dyDescent="0.3">
      <c r="A91" s="4">
        <v>93</v>
      </c>
      <c r="B91" s="4" t="s">
        <v>447</v>
      </c>
      <c r="C91" s="4" t="s">
        <v>225</v>
      </c>
      <c r="D91" s="4" t="s">
        <v>271</v>
      </c>
      <c r="E91" s="7">
        <v>17700</v>
      </c>
    </row>
    <row r="92" spans="1:5" x14ac:dyDescent="0.3">
      <c r="A92" s="4">
        <v>94</v>
      </c>
      <c r="B92" s="4" t="s">
        <v>451</v>
      </c>
      <c r="C92" s="4" t="s">
        <v>31</v>
      </c>
      <c r="D92" s="4" t="s">
        <v>48</v>
      </c>
      <c r="E92" s="7">
        <v>17500</v>
      </c>
    </row>
    <row r="93" spans="1:5" x14ac:dyDescent="0.3">
      <c r="A93" s="4">
        <v>94</v>
      </c>
      <c r="B93" s="4" t="s">
        <v>453</v>
      </c>
      <c r="C93" s="4" t="s">
        <v>31</v>
      </c>
      <c r="D93" s="4" t="s">
        <v>48</v>
      </c>
      <c r="E93" s="7">
        <v>17500</v>
      </c>
    </row>
    <row r="94" spans="1:5" x14ac:dyDescent="0.3">
      <c r="A94" s="4">
        <v>94</v>
      </c>
      <c r="B94" s="4" t="s">
        <v>457</v>
      </c>
      <c r="C94" s="4" t="s">
        <v>73</v>
      </c>
      <c r="D94" s="4" t="s">
        <v>271</v>
      </c>
      <c r="E94" s="7">
        <v>17500</v>
      </c>
    </row>
    <row r="95" spans="1:5" x14ac:dyDescent="0.3">
      <c r="A95" s="4">
        <v>97</v>
      </c>
      <c r="B95" s="4" t="s">
        <v>462</v>
      </c>
      <c r="C95" s="4" t="s">
        <v>31</v>
      </c>
      <c r="D95" s="4" t="s">
        <v>461</v>
      </c>
      <c r="E95" s="7">
        <v>17400</v>
      </c>
    </row>
    <row r="96" spans="1:5" x14ac:dyDescent="0.3">
      <c r="A96" s="4">
        <v>97</v>
      </c>
      <c r="B96" s="4" t="s">
        <v>467</v>
      </c>
      <c r="C96" s="4" t="s">
        <v>31</v>
      </c>
      <c r="D96" s="4" t="s">
        <v>20</v>
      </c>
      <c r="E96" s="7">
        <v>17400</v>
      </c>
    </row>
    <row r="97" spans="1:5" x14ac:dyDescent="0.3">
      <c r="A97" s="4">
        <v>99</v>
      </c>
      <c r="B97" s="4" t="s">
        <v>471</v>
      </c>
      <c r="C97" s="4" t="s">
        <v>31</v>
      </c>
      <c r="D97" s="4" t="s">
        <v>58</v>
      </c>
      <c r="E97" s="7">
        <v>17100</v>
      </c>
    </row>
    <row r="98" spans="1:5" x14ac:dyDescent="0.3">
      <c r="A98" s="4">
        <v>100</v>
      </c>
      <c r="B98" s="4" t="s">
        <v>475</v>
      </c>
      <c r="C98" s="4" t="s">
        <v>169</v>
      </c>
      <c r="D98" s="4" t="s">
        <v>48</v>
      </c>
      <c r="E98" s="7">
        <v>16700</v>
      </c>
    </row>
    <row r="99" spans="1:5" x14ac:dyDescent="0.3">
      <c r="A99" s="4">
        <v>101</v>
      </c>
      <c r="B99" s="4" t="s">
        <v>480</v>
      </c>
      <c r="C99" s="4" t="s">
        <v>157</v>
      </c>
      <c r="D99" s="4" t="s">
        <v>20</v>
      </c>
      <c r="E99" s="7">
        <v>16500</v>
      </c>
    </row>
    <row r="100" spans="1:5" x14ac:dyDescent="0.3">
      <c r="A100" s="4">
        <v>101</v>
      </c>
      <c r="B100" s="4" t="s">
        <v>485</v>
      </c>
      <c r="C100" s="4" t="s">
        <v>486</v>
      </c>
      <c r="D100" s="4" t="s">
        <v>48</v>
      </c>
      <c r="E100" s="7">
        <v>16500</v>
      </c>
    </row>
    <row r="101" spans="1:5" x14ac:dyDescent="0.3">
      <c r="A101" s="4">
        <v>103</v>
      </c>
      <c r="B101" s="4" t="s">
        <v>492</v>
      </c>
      <c r="C101" s="4" t="s">
        <v>104</v>
      </c>
      <c r="D101" s="4" t="s">
        <v>350</v>
      </c>
      <c r="E101" s="7">
        <v>16300</v>
      </c>
    </row>
    <row r="102" spans="1:5" x14ac:dyDescent="0.3">
      <c r="A102" s="4">
        <v>104</v>
      </c>
      <c r="B102" s="4" t="s">
        <v>495</v>
      </c>
      <c r="C102" s="4" t="s">
        <v>496</v>
      </c>
      <c r="D102" s="4" t="s">
        <v>20</v>
      </c>
      <c r="E102" s="7">
        <v>16200</v>
      </c>
    </row>
    <row r="103" spans="1:5" x14ac:dyDescent="0.3">
      <c r="A103" s="4">
        <v>104</v>
      </c>
      <c r="B103" s="4" t="s">
        <v>501</v>
      </c>
      <c r="C103" s="4" t="s">
        <v>31</v>
      </c>
      <c r="D103" s="4" t="s">
        <v>37</v>
      </c>
      <c r="E103" s="7">
        <v>16200</v>
      </c>
    </row>
    <row r="104" spans="1:5" x14ac:dyDescent="0.3">
      <c r="A104" s="4">
        <v>106</v>
      </c>
      <c r="B104" s="4" t="s">
        <v>504</v>
      </c>
      <c r="C104" s="4" t="s">
        <v>169</v>
      </c>
      <c r="D104" s="4" t="s">
        <v>48</v>
      </c>
      <c r="E104" s="7">
        <v>16000</v>
      </c>
    </row>
    <row r="105" spans="1:5" x14ac:dyDescent="0.3">
      <c r="A105" s="4">
        <v>107</v>
      </c>
      <c r="B105" s="4" t="s">
        <v>506</v>
      </c>
      <c r="C105" s="4" t="s">
        <v>104</v>
      </c>
      <c r="D105" s="4" t="s">
        <v>102</v>
      </c>
      <c r="E105" s="7">
        <v>15900</v>
      </c>
    </row>
    <row r="106" spans="1:5" x14ac:dyDescent="0.3">
      <c r="A106" s="4">
        <v>108</v>
      </c>
      <c r="B106" s="4" t="s">
        <v>510</v>
      </c>
      <c r="C106" s="4" t="s">
        <v>169</v>
      </c>
      <c r="D106" s="4" t="s">
        <v>102</v>
      </c>
      <c r="E106" s="7">
        <v>15800</v>
      </c>
    </row>
    <row r="107" spans="1:5" x14ac:dyDescent="0.3">
      <c r="A107" s="4">
        <v>112</v>
      </c>
      <c r="B107" s="4" t="s">
        <v>515</v>
      </c>
      <c r="C107" s="4" t="s">
        <v>73</v>
      </c>
      <c r="D107" s="4" t="s">
        <v>350</v>
      </c>
      <c r="E107" s="7">
        <v>15600</v>
      </c>
    </row>
    <row r="108" spans="1:5" x14ac:dyDescent="0.3">
      <c r="A108" s="4">
        <v>113</v>
      </c>
      <c r="B108" s="4" t="s">
        <v>519</v>
      </c>
      <c r="C108" s="4" t="s">
        <v>31</v>
      </c>
      <c r="D108" s="4" t="s">
        <v>37</v>
      </c>
      <c r="E108" s="7">
        <v>15500</v>
      </c>
    </row>
    <row r="109" spans="1:5" x14ac:dyDescent="0.3">
      <c r="A109" s="4">
        <v>114</v>
      </c>
      <c r="B109" s="4" t="s">
        <v>524</v>
      </c>
      <c r="C109" s="4" t="s">
        <v>73</v>
      </c>
      <c r="D109" s="4" t="s">
        <v>20</v>
      </c>
      <c r="E109" s="7">
        <v>15300</v>
      </c>
    </row>
    <row r="110" spans="1:5" x14ac:dyDescent="0.3">
      <c r="A110" s="4">
        <v>115</v>
      </c>
      <c r="B110" s="4" t="s">
        <v>528</v>
      </c>
      <c r="C110" s="4" t="s">
        <v>104</v>
      </c>
      <c r="D110" s="4" t="s">
        <v>29</v>
      </c>
      <c r="E110" s="7">
        <v>15200</v>
      </c>
    </row>
    <row r="111" spans="1:5" x14ac:dyDescent="0.3">
      <c r="A111" s="4">
        <v>116</v>
      </c>
      <c r="B111" s="4" t="s">
        <v>530</v>
      </c>
      <c r="C111" s="4" t="s">
        <v>531</v>
      </c>
      <c r="D111" s="4" t="s">
        <v>71</v>
      </c>
      <c r="E111" s="7">
        <v>14900</v>
      </c>
    </row>
    <row r="112" spans="1:5" x14ac:dyDescent="0.3">
      <c r="A112" s="4">
        <v>116</v>
      </c>
      <c r="B112" s="4" t="s">
        <v>536</v>
      </c>
      <c r="C112" s="4" t="s">
        <v>31</v>
      </c>
      <c r="D112" s="4" t="s">
        <v>20</v>
      </c>
      <c r="E112" s="7">
        <v>14900</v>
      </c>
    </row>
    <row r="113" spans="1:5" x14ac:dyDescent="0.3">
      <c r="A113" s="4">
        <v>118</v>
      </c>
      <c r="B113" s="4" t="s">
        <v>538</v>
      </c>
      <c r="C113" s="4" t="s">
        <v>531</v>
      </c>
      <c r="D113" s="4" t="s">
        <v>102</v>
      </c>
      <c r="E113" s="7">
        <v>14800</v>
      </c>
    </row>
    <row r="114" spans="1:5" x14ac:dyDescent="0.3">
      <c r="A114" s="4">
        <v>119</v>
      </c>
      <c r="B114" s="4" t="s">
        <v>542</v>
      </c>
      <c r="C114" s="4" t="s">
        <v>225</v>
      </c>
      <c r="D114" s="4" t="s">
        <v>102</v>
      </c>
      <c r="E114" s="7">
        <v>14700</v>
      </c>
    </row>
    <row r="115" spans="1:5" x14ac:dyDescent="0.3">
      <c r="A115" s="4">
        <v>120</v>
      </c>
      <c r="B115" s="4" t="s">
        <v>546</v>
      </c>
      <c r="C115" s="4" t="s">
        <v>104</v>
      </c>
      <c r="D115" s="4" t="s">
        <v>350</v>
      </c>
      <c r="E115" s="7">
        <v>14600</v>
      </c>
    </row>
    <row r="116" spans="1:5" x14ac:dyDescent="0.3">
      <c r="A116" s="4">
        <v>121</v>
      </c>
      <c r="B116" s="4" t="s">
        <v>550</v>
      </c>
      <c r="C116" s="4" t="s">
        <v>104</v>
      </c>
      <c r="D116" s="4" t="s">
        <v>29</v>
      </c>
      <c r="E116" s="7">
        <v>14500</v>
      </c>
    </row>
    <row r="117" spans="1:5" x14ac:dyDescent="0.3">
      <c r="A117" s="4">
        <v>123</v>
      </c>
      <c r="B117" s="4" t="s">
        <v>553</v>
      </c>
      <c r="C117" s="4" t="s">
        <v>554</v>
      </c>
      <c r="D117" s="4" t="s">
        <v>249</v>
      </c>
      <c r="E117" s="7">
        <v>14300</v>
      </c>
    </row>
    <row r="118" spans="1:5" x14ac:dyDescent="0.3">
      <c r="A118" s="4">
        <v>124</v>
      </c>
      <c r="B118" s="4" t="s">
        <v>559</v>
      </c>
      <c r="C118" s="4" t="s">
        <v>73</v>
      </c>
      <c r="D118" s="4" t="s">
        <v>71</v>
      </c>
      <c r="E118" s="7">
        <v>14200</v>
      </c>
    </row>
    <row r="119" spans="1:5" x14ac:dyDescent="0.3">
      <c r="A119" s="4">
        <v>124</v>
      </c>
      <c r="B119" s="4" t="s">
        <v>563</v>
      </c>
      <c r="C119" s="4" t="s">
        <v>564</v>
      </c>
      <c r="D119" s="4" t="s">
        <v>249</v>
      </c>
      <c r="E119" s="7">
        <v>14200</v>
      </c>
    </row>
    <row r="120" spans="1:5" x14ac:dyDescent="0.3">
      <c r="A120" s="4">
        <v>127</v>
      </c>
      <c r="B120" s="4" t="s">
        <v>570</v>
      </c>
      <c r="C120" s="4" t="s">
        <v>225</v>
      </c>
      <c r="D120" s="4" t="s">
        <v>71</v>
      </c>
      <c r="E120" s="7">
        <v>14000</v>
      </c>
    </row>
    <row r="121" spans="1:5" x14ac:dyDescent="0.3">
      <c r="A121" s="4">
        <v>128</v>
      </c>
      <c r="B121" s="4" t="s">
        <v>573</v>
      </c>
      <c r="C121" s="4" t="s">
        <v>104</v>
      </c>
      <c r="D121" s="4" t="s">
        <v>350</v>
      </c>
      <c r="E121" s="7">
        <v>13900</v>
      </c>
    </row>
    <row r="122" spans="1:5" x14ac:dyDescent="0.3">
      <c r="A122" s="4">
        <v>130</v>
      </c>
      <c r="B122" s="4" t="s">
        <v>577</v>
      </c>
      <c r="C122" s="4" t="s">
        <v>225</v>
      </c>
      <c r="D122" s="4" t="s">
        <v>167</v>
      </c>
      <c r="E122" s="7">
        <v>13700</v>
      </c>
    </row>
    <row r="123" spans="1:5" x14ac:dyDescent="0.3">
      <c r="A123" s="4">
        <v>130</v>
      </c>
      <c r="B123" s="4" t="s">
        <v>580</v>
      </c>
      <c r="C123" s="4" t="s">
        <v>31</v>
      </c>
      <c r="D123" s="4" t="s">
        <v>579</v>
      </c>
      <c r="E123" s="7">
        <v>13700</v>
      </c>
    </row>
    <row r="124" spans="1:5" x14ac:dyDescent="0.3">
      <c r="A124" s="4">
        <v>130</v>
      </c>
      <c r="B124" s="4" t="s">
        <v>585</v>
      </c>
      <c r="C124" s="4" t="s">
        <v>31</v>
      </c>
      <c r="D124" s="4" t="s">
        <v>37</v>
      </c>
      <c r="E124" s="7">
        <v>13700</v>
      </c>
    </row>
    <row r="125" spans="1:5" x14ac:dyDescent="0.3">
      <c r="A125" s="4">
        <v>133</v>
      </c>
      <c r="B125" s="4" t="s">
        <v>590</v>
      </c>
      <c r="C125" s="4" t="s">
        <v>31</v>
      </c>
      <c r="D125" s="4" t="s">
        <v>589</v>
      </c>
      <c r="E125" s="7">
        <v>13300</v>
      </c>
    </row>
    <row r="126" spans="1:5" x14ac:dyDescent="0.3">
      <c r="A126" s="4">
        <v>133</v>
      </c>
      <c r="B126" s="4" t="s">
        <v>595</v>
      </c>
      <c r="C126" s="4" t="s">
        <v>31</v>
      </c>
      <c r="D126" s="4" t="s">
        <v>291</v>
      </c>
      <c r="E126" s="7">
        <v>13300</v>
      </c>
    </row>
    <row r="127" spans="1:5" x14ac:dyDescent="0.3">
      <c r="A127" s="4">
        <v>136</v>
      </c>
      <c r="B127" s="4" t="s">
        <v>600</v>
      </c>
      <c r="C127" s="4" t="s">
        <v>104</v>
      </c>
      <c r="D127" s="4" t="s">
        <v>29</v>
      </c>
      <c r="E127" s="7">
        <v>13200</v>
      </c>
    </row>
    <row r="128" spans="1:5" x14ac:dyDescent="0.3">
      <c r="A128" s="4">
        <v>137</v>
      </c>
      <c r="B128" s="4" t="s">
        <v>605</v>
      </c>
      <c r="C128" s="4" t="s">
        <v>273</v>
      </c>
      <c r="D128" s="4" t="s">
        <v>461</v>
      </c>
      <c r="E128" s="7">
        <v>13100</v>
      </c>
    </row>
    <row r="129" spans="1:5" x14ac:dyDescent="0.3">
      <c r="A129" s="4">
        <v>138</v>
      </c>
      <c r="B129" s="4" t="s">
        <v>609</v>
      </c>
      <c r="C129" s="4" t="s">
        <v>73</v>
      </c>
      <c r="D129" s="4" t="s">
        <v>48</v>
      </c>
      <c r="E129" s="7">
        <v>12900</v>
      </c>
    </row>
    <row r="130" spans="1:5" x14ac:dyDescent="0.3">
      <c r="A130" s="4">
        <v>138</v>
      </c>
      <c r="B130" s="4" t="s">
        <v>612</v>
      </c>
      <c r="C130" s="4" t="s">
        <v>31</v>
      </c>
      <c r="D130" s="4" t="s">
        <v>589</v>
      </c>
      <c r="E130" s="7">
        <v>12900</v>
      </c>
    </row>
    <row r="131" spans="1:5" x14ac:dyDescent="0.3">
      <c r="A131" s="4">
        <v>140</v>
      </c>
      <c r="B131" s="4" t="s">
        <v>617</v>
      </c>
      <c r="C131" s="4" t="s">
        <v>225</v>
      </c>
      <c r="D131" s="4" t="s">
        <v>291</v>
      </c>
      <c r="E131" s="7">
        <v>12600</v>
      </c>
    </row>
    <row r="132" spans="1:5" x14ac:dyDescent="0.3">
      <c r="A132" s="4">
        <v>141</v>
      </c>
      <c r="B132" s="4" t="s">
        <v>621</v>
      </c>
      <c r="C132" s="4" t="s">
        <v>531</v>
      </c>
      <c r="D132" s="4" t="s">
        <v>291</v>
      </c>
      <c r="E132" s="7">
        <v>12300</v>
      </c>
    </row>
    <row r="133" spans="1:5" x14ac:dyDescent="0.3">
      <c r="A133" s="4">
        <v>142</v>
      </c>
      <c r="B133" s="4" t="s">
        <v>624</v>
      </c>
      <c r="C133" s="4" t="s">
        <v>104</v>
      </c>
      <c r="D133" s="4" t="s">
        <v>271</v>
      </c>
      <c r="E133" s="7">
        <v>12200</v>
      </c>
    </row>
    <row r="134" spans="1:5" x14ac:dyDescent="0.3">
      <c r="A134" s="4">
        <v>142</v>
      </c>
      <c r="B134" s="4" t="s">
        <v>628</v>
      </c>
      <c r="C134" s="4" t="s">
        <v>104</v>
      </c>
      <c r="D134" s="4" t="s">
        <v>350</v>
      </c>
      <c r="E134" s="7">
        <v>12200</v>
      </c>
    </row>
    <row r="135" spans="1:5" x14ac:dyDescent="0.3">
      <c r="A135" s="4">
        <v>144</v>
      </c>
      <c r="B135" s="4" t="s">
        <v>632</v>
      </c>
      <c r="C135" s="4" t="s">
        <v>31</v>
      </c>
      <c r="D135" s="4" t="s">
        <v>29</v>
      </c>
      <c r="E135" s="7">
        <v>12100</v>
      </c>
    </row>
    <row r="136" spans="1:5" x14ac:dyDescent="0.3">
      <c r="A136" s="4">
        <v>145</v>
      </c>
      <c r="B136" s="4" t="s">
        <v>637</v>
      </c>
      <c r="C136" s="4" t="s">
        <v>31</v>
      </c>
      <c r="D136" s="4" t="s">
        <v>37</v>
      </c>
      <c r="E136" s="7">
        <v>12000</v>
      </c>
    </row>
    <row r="137" spans="1:5" x14ac:dyDescent="0.3">
      <c r="A137" s="4">
        <v>147</v>
      </c>
      <c r="B137" s="4" t="s">
        <v>641</v>
      </c>
      <c r="C137" s="4" t="s">
        <v>31</v>
      </c>
      <c r="D137" s="4" t="s">
        <v>461</v>
      </c>
      <c r="E137" s="7">
        <v>11600</v>
      </c>
    </row>
    <row r="138" spans="1:5" x14ac:dyDescent="0.3">
      <c r="A138" s="4">
        <v>148</v>
      </c>
      <c r="B138" s="4" t="s">
        <v>643</v>
      </c>
      <c r="C138" s="4" t="s">
        <v>305</v>
      </c>
      <c r="D138" s="4" t="s">
        <v>37</v>
      </c>
      <c r="E138" s="7">
        <v>11500</v>
      </c>
    </row>
    <row r="139" spans="1:5" x14ac:dyDescent="0.3">
      <c r="A139" s="4">
        <v>148</v>
      </c>
      <c r="B139" s="4" t="s">
        <v>648</v>
      </c>
      <c r="C139" s="4" t="s">
        <v>157</v>
      </c>
      <c r="D139" s="4" t="s">
        <v>350</v>
      </c>
      <c r="E139" s="7">
        <v>11500</v>
      </c>
    </row>
    <row r="140" spans="1:5" x14ac:dyDescent="0.3">
      <c r="A140" s="4">
        <v>148</v>
      </c>
      <c r="B140" s="4" t="s">
        <v>652</v>
      </c>
      <c r="C140" s="4" t="s">
        <v>157</v>
      </c>
      <c r="D140" s="4" t="s">
        <v>350</v>
      </c>
      <c r="E140" s="7">
        <v>11500</v>
      </c>
    </row>
    <row r="141" spans="1:5" x14ac:dyDescent="0.3">
      <c r="A141" s="4">
        <v>151</v>
      </c>
      <c r="B141" s="4" t="s">
        <v>653</v>
      </c>
      <c r="C141" s="4" t="s">
        <v>104</v>
      </c>
      <c r="D141" s="4" t="s">
        <v>102</v>
      </c>
      <c r="E141" s="7">
        <v>11400</v>
      </c>
    </row>
    <row r="142" spans="1:5" x14ac:dyDescent="0.3">
      <c r="A142" s="4">
        <v>151</v>
      </c>
      <c r="B142" s="4" t="s">
        <v>658</v>
      </c>
      <c r="C142" s="4" t="s">
        <v>31</v>
      </c>
      <c r="D142" s="4" t="s">
        <v>20</v>
      </c>
      <c r="E142" s="7">
        <v>11400</v>
      </c>
    </row>
    <row r="143" spans="1:5" x14ac:dyDescent="0.3">
      <c r="A143" s="4">
        <v>153</v>
      </c>
      <c r="B143" s="4" t="s">
        <v>662</v>
      </c>
      <c r="C143" s="4" t="s">
        <v>31</v>
      </c>
      <c r="D143" s="4" t="s">
        <v>48</v>
      </c>
      <c r="E143" s="7">
        <v>11300</v>
      </c>
    </row>
    <row r="144" spans="1:5" x14ac:dyDescent="0.3">
      <c r="A144" s="4">
        <v>153</v>
      </c>
      <c r="B144" s="4" t="s">
        <v>665</v>
      </c>
      <c r="C144" s="4" t="s">
        <v>664</v>
      </c>
      <c r="D144" s="4" t="s">
        <v>249</v>
      </c>
      <c r="E144" s="7">
        <v>11300</v>
      </c>
    </row>
    <row r="145" spans="1:5" x14ac:dyDescent="0.3">
      <c r="A145" s="4">
        <v>153</v>
      </c>
      <c r="B145" s="4" t="s">
        <v>671</v>
      </c>
      <c r="C145" s="4" t="s">
        <v>273</v>
      </c>
      <c r="D145" s="4" t="s">
        <v>249</v>
      </c>
      <c r="E145" s="7">
        <v>11300</v>
      </c>
    </row>
    <row r="146" spans="1:5" x14ac:dyDescent="0.3">
      <c r="A146" s="4">
        <v>153</v>
      </c>
      <c r="B146" s="4" t="s">
        <v>675</v>
      </c>
      <c r="C146" s="4" t="s">
        <v>169</v>
      </c>
      <c r="D146" s="4" t="s">
        <v>48</v>
      </c>
      <c r="E146" s="7">
        <v>11300</v>
      </c>
    </row>
    <row r="147" spans="1:5" x14ac:dyDescent="0.3">
      <c r="A147" s="4">
        <v>157</v>
      </c>
      <c r="B147" s="4" t="s">
        <v>678</v>
      </c>
      <c r="C147" s="4" t="s">
        <v>679</v>
      </c>
      <c r="D147" s="4" t="s">
        <v>20</v>
      </c>
      <c r="E147" s="7">
        <v>11100</v>
      </c>
    </row>
    <row r="148" spans="1:5" x14ac:dyDescent="0.3">
      <c r="A148" s="4">
        <v>157</v>
      </c>
      <c r="B148" s="4" t="s">
        <v>684</v>
      </c>
      <c r="C148" s="4" t="s">
        <v>685</v>
      </c>
      <c r="D148" s="4" t="s">
        <v>20</v>
      </c>
      <c r="E148" s="7">
        <v>11100</v>
      </c>
    </row>
    <row r="149" spans="1:5" x14ac:dyDescent="0.3">
      <c r="A149" s="4">
        <v>159</v>
      </c>
      <c r="B149" s="4" t="s">
        <v>689</v>
      </c>
      <c r="C149" s="4" t="s">
        <v>104</v>
      </c>
      <c r="D149" s="4" t="s">
        <v>37</v>
      </c>
      <c r="E149" s="7">
        <v>11000</v>
      </c>
    </row>
    <row r="150" spans="1:5" x14ac:dyDescent="0.3">
      <c r="A150" s="4">
        <v>161</v>
      </c>
      <c r="B150" s="4" t="s">
        <v>691</v>
      </c>
      <c r="C150" s="4" t="s">
        <v>31</v>
      </c>
      <c r="D150" s="4" t="s">
        <v>48</v>
      </c>
      <c r="E150" s="7">
        <v>10900</v>
      </c>
    </row>
    <row r="151" spans="1:5" x14ac:dyDescent="0.3">
      <c r="A151" s="4">
        <v>161</v>
      </c>
      <c r="B151" s="4" t="s">
        <v>696</v>
      </c>
      <c r="C151" s="4" t="s">
        <v>31</v>
      </c>
      <c r="D151" s="4" t="s">
        <v>20</v>
      </c>
      <c r="E151" s="7">
        <v>10900</v>
      </c>
    </row>
    <row r="152" spans="1:5" x14ac:dyDescent="0.3">
      <c r="A152" s="4">
        <v>161</v>
      </c>
      <c r="B152" s="4" t="s">
        <v>700</v>
      </c>
      <c r="C152" s="4" t="s">
        <v>66</v>
      </c>
      <c r="D152" s="4" t="s">
        <v>20</v>
      </c>
      <c r="E152" s="7">
        <v>10900</v>
      </c>
    </row>
    <row r="153" spans="1:5" x14ac:dyDescent="0.3">
      <c r="A153" s="4">
        <v>164</v>
      </c>
      <c r="B153" s="4" t="s">
        <v>704</v>
      </c>
      <c r="C153" s="4" t="s">
        <v>31</v>
      </c>
      <c r="D153" s="4" t="s">
        <v>58</v>
      </c>
      <c r="E153" s="7">
        <v>10700</v>
      </c>
    </row>
    <row r="154" spans="1:5" x14ac:dyDescent="0.3">
      <c r="A154" s="4">
        <v>165</v>
      </c>
      <c r="B154" s="4" t="s">
        <v>706</v>
      </c>
      <c r="C154" s="4" t="s">
        <v>31</v>
      </c>
      <c r="D154" s="4" t="s">
        <v>589</v>
      </c>
      <c r="E154" s="7">
        <v>10600</v>
      </c>
    </row>
    <row r="155" spans="1:5" x14ac:dyDescent="0.3">
      <c r="A155" s="4">
        <v>165</v>
      </c>
      <c r="B155" s="4" t="s">
        <v>710</v>
      </c>
      <c r="C155" s="4" t="s">
        <v>711</v>
      </c>
      <c r="D155" s="4" t="s">
        <v>102</v>
      </c>
      <c r="E155" s="7">
        <v>10600</v>
      </c>
    </row>
    <row r="156" spans="1:5" x14ac:dyDescent="0.3">
      <c r="A156" s="4">
        <v>167</v>
      </c>
      <c r="B156" s="4" t="s">
        <v>716</v>
      </c>
      <c r="C156" s="4" t="s">
        <v>326</v>
      </c>
      <c r="D156" s="4" t="s">
        <v>48</v>
      </c>
      <c r="E156" s="7">
        <v>10500</v>
      </c>
    </row>
    <row r="157" spans="1:5" x14ac:dyDescent="0.3">
      <c r="A157" s="4">
        <v>167</v>
      </c>
      <c r="B157" s="4" t="s">
        <v>720</v>
      </c>
      <c r="C157" s="4" t="s">
        <v>104</v>
      </c>
      <c r="D157" s="4" t="s">
        <v>20</v>
      </c>
      <c r="E157" s="7">
        <v>10500</v>
      </c>
    </row>
    <row r="158" spans="1:5" x14ac:dyDescent="0.3">
      <c r="A158" s="4">
        <v>167</v>
      </c>
      <c r="B158" s="4" t="s">
        <v>722</v>
      </c>
      <c r="C158" s="4" t="s">
        <v>305</v>
      </c>
      <c r="D158" s="4" t="s">
        <v>48</v>
      </c>
      <c r="E158" s="7">
        <v>10500</v>
      </c>
    </row>
    <row r="159" spans="1:5" x14ac:dyDescent="0.3">
      <c r="A159" s="4">
        <v>170</v>
      </c>
      <c r="B159" s="4" t="s">
        <v>726</v>
      </c>
      <c r="C159" s="4" t="s">
        <v>31</v>
      </c>
      <c r="D159" s="4" t="s">
        <v>48</v>
      </c>
      <c r="E159" s="7">
        <v>10300</v>
      </c>
    </row>
    <row r="160" spans="1:5" x14ac:dyDescent="0.3">
      <c r="A160" s="4">
        <v>171</v>
      </c>
      <c r="B160" s="4" t="s">
        <v>729</v>
      </c>
      <c r="C160" s="4" t="s">
        <v>273</v>
      </c>
      <c r="D160" s="4" t="s">
        <v>37</v>
      </c>
      <c r="E160" s="7">
        <v>10200</v>
      </c>
    </row>
    <row r="161" spans="1:5" x14ac:dyDescent="0.3">
      <c r="A161" s="4">
        <v>171</v>
      </c>
      <c r="B161" s="4" t="s">
        <v>733</v>
      </c>
      <c r="C161" s="4" t="s">
        <v>31</v>
      </c>
      <c r="D161" s="4" t="s">
        <v>350</v>
      </c>
      <c r="E161" s="7">
        <v>10200</v>
      </c>
    </row>
    <row r="162" spans="1:5" x14ac:dyDescent="0.3">
      <c r="A162" s="4">
        <v>171</v>
      </c>
      <c r="B162" s="4" t="s">
        <v>736</v>
      </c>
      <c r="C162" s="4" t="s">
        <v>31</v>
      </c>
      <c r="D162" s="4" t="s">
        <v>37</v>
      </c>
      <c r="E162" s="7">
        <v>10200</v>
      </c>
    </row>
    <row r="163" spans="1:5" x14ac:dyDescent="0.3">
      <c r="A163" s="4">
        <v>171</v>
      </c>
      <c r="B163" s="4" t="s">
        <v>740</v>
      </c>
      <c r="C163" s="4" t="s">
        <v>31</v>
      </c>
      <c r="D163" s="4" t="s">
        <v>291</v>
      </c>
      <c r="E163" s="7">
        <v>10200</v>
      </c>
    </row>
    <row r="164" spans="1:5" x14ac:dyDescent="0.3">
      <c r="A164" s="4">
        <v>171</v>
      </c>
      <c r="B164" s="4" t="s">
        <v>744</v>
      </c>
      <c r="C164" s="4" t="s">
        <v>326</v>
      </c>
      <c r="D164" s="4" t="s">
        <v>249</v>
      </c>
      <c r="E164" s="7">
        <v>10200</v>
      </c>
    </row>
    <row r="165" spans="1:5" x14ac:dyDescent="0.3">
      <c r="A165" s="4">
        <v>171</v>
      </c>
      <c r="B165" s="4" t="s">
        <v>748</v>
      </c>
      <c r="C165" s="4" t="s">
        <v>554</v>
      </c>
      <c r="D165" s="4" t="s">
        <v>37</v>
      </c>
      <c r="E165" s="7">
        <v>10200</v>
      </c>
    </row>
    <row r="166" spans="1:5" x14ac:dyDescent="0.3">
      <c r="A166" s="4">
        <v>171</v>
      </c>
      <c r="B166" s="4" t="s">
        <v>751</v>
      </c>
      <c r="C166" s="4" t="s">
        <v>157</v>
      </c>
      <c r="D166" s="4" t="s">
        <v>29</v>
      </c>
      <c r="E166" s="7">
        <v>10200</v>
      </c>
    </row>
    <row r="167" spans="1:5" x14ac:dyDescent="0.3">
      <c r="A167" s="4">
        <v>171</v>
      </c>
      <c r="B167" s="4" t="s">
        <v>755</v>
      </c>
      <c r="C167" s="4" t="s">
        <v>31</v>
      </c>
      <c r="D167" s="4" t="s">
        <v>20</v>
      </c>
      <c r="E167" s="7">
        <v>10200</v>
      </c>
    </row>
    <row r="168" spans="1:5" x14ac:dyDescent="0.3">
      <c r="A168" s="4">
        <v>179</v>
      </c>
      <c r="B168" s="4" t="s">
        <v>757</v>
      </c>
      <c r="C168" s="4" t="s">
        <v>273</v>
      </c>
      <c r="D168" s="4" t="s">
        <v>37</v>
      </c>
      <c r="E168" s="7">
        <v>10100</v>
      </c>
    </row>
    <row r="169" spans="1:5" x14ac:dyDescent="0.3">
      <c r="A169" s="4">
        <v>179</v>
      </c>
      <c r="B169" s="4" t="s">
        <v>759</v>
      </c>
      <c r="C169" s="4" t="s">
        <v>760</v>
      </c>
      <c r="D169" s="4" t="s">
        <v>71</v>
      </c>
      <c r="E169" s="7">
        <v>10100</v>
      </c>
    </row>
    <row r="170" spans="1:5" x14ac:dyDescent="0.3">
      <c r="A170" s="4">
        <v>179</v>
      </c>
      <c r="B170" s="4" t="s">
        <v>766</v>
      </c>
      <c r="C170" s="4" t="s">
        <v>104</v>
      </c>
      <c r="D170" s="4" t="s">
        <v>461</v>
      </c>
      <c r="E170" s="7">
        <v>10100</v>
      </c>
    </row>
    <row r="171" spans="1:5" x14ac:dyDescent="0.3">
      <c r="A171" s="4">
        <v>182</v>
      </c>
      <c r="B171" s="4" t="s">
        <v>769</v>
      </c>
      <c r="C171" s="4" t="s">
        <v>31</v>
      </c>
      <c r="D171" s="4" t="s">
        <v>291</v>
      </c>
      <c r="E171" s="7">
        <v>10000</v>
      </c>
    </row>
    <row r="172" spans="1:5" x14ac:dyDescent="0.3">
      <c r="A172" s="4">
        <v>183</v>
      </c>
      <c r="B172" s="4" t="s">
        <v>773</v>
      </c>
      <c r="C172" s="4" t="s">
        <v>104</v>
      </c>
      <c r="D172" s="4" t="s">
        <v>380</v>
      </c>
      <c r="E172" s="7">
        <v>9900</v>
      </c>
    </row>
    <row r="173" spans="1:5" x14ac:dyDescent="0.3">
      <c r="A173" s="4">
        <v>184</v>
      </c>
      <c r="B173" s="4" t="s">
        <v>775</v>
      </c>
      <c r="C173" s="4" t="s">
        <v>305</v>
      </c>
      <c r="D173" s="4" t="s">
        <v>71</v>
      </c>
      <c r="E173" s="7">
        <v>9800</v>
      </c>
    </row>
    <row r="174" spans="1:5" x14ac:dyDescent="0.3">
      <c r="A174" s="4">
        <v>184</v>
      </c>
      <c r="B174" s="4" t="s">
        <v>777</v>
      </c>
      <c r="C174" s="4" t="s">
        <v>169</v>
      </c>
      <c r="D174" s="4" t="s">
        <v>20</v>
      </c>
      <c r="E174" s="7">
        <v>9800</v>
      </c>
    </row>
    <row r="175" spans="1:5" x14ac:dyDescent="0.3">
      <c r="A175" s="4">
        <v>184</v>
      </c>
      <c r="B175" s="4" t="s">
        <v>782</v>
      </c>
      <c r="C175" s="4" t="s">
        <v>22</v>
      </c>
      <c r="D175" s="4" t="s">
        <v>167</v>
      </c>
      <c r="E175" s="7">
        <v>9800</v>
      </c>
    </row>
    <row r="176" spans="1:5" x14ac:dyDescent="0.3">
      <c r="A176" s="4">
        <v>184</v>
      </c>
      <c r="B176" s="4" t="s">
        <v>786</v>
      </c>
      <c r="C176" s="4" t="s">
        <v>22</v>
      </c>
      <c r="D176" s="4" t="s">
        <v>167</v>
      </c>
      <c r="E176" s="7">
        <v>9800</v>
      </c>
    </row>
    <row r="177" spans="1:5" x14ac:dyDescent="0.3">
      <c r="A177" s="4">
        <v>184</v>
      </c>
      <c r="B177" s="4" t="s">
        <v>788</v>
      </c>
      <c r="C177" s="4" t="s">
        <v>22</v>
      </c>
      <c r="D177" s="4" t="s">
        <v>167</v>
      </c>
      <c r="E177" s="7">
        <v>9800</v>
      </c>
    </row>
    <row r="178" spans="1:5" x14ac:dyDescent="0.3">
      <c r="A178" s="4">
        <v>184</v>
      </c>
      <c r="B178" s="4" t="s">
        <v>791</v>
      </c>
      <c r="C178" s="4" t="s">
        <v>496</v>
      </c>
      <c r="D178" s="4" t="s">
        <v>48</v>
      </c>
      <c r="E178" s="7">
        <v>9800</v>
      </c>
    </row>
    <row r="179" spans="1:5" x14ac:dyDescent="0.3">
      <c r="A179" s="4">
        <v>190</v>
      </c>
      <c r="B179" s="4" t="s">
        <v>794</v>
      </c>
      <c r="C179" s="4" t="s">
        <v>326</v>
      </c>
      <c r="D179" s="4" t="s">
        <v>249</v>
      </c>
      <c r="E179" s="7">
        <v>9700</v>
      </c>
    </row>
    <row r="180" spans="1:5" x14ac:dyDescent="0.3">
      <c r="A180" s="4">
        <v>190</v>
      </c>
      <c r="B180" s="4" t="s">
        <v>798</v>
      </c>
      <c r="C180" s="4" t="s">
        <v>799</v>
      </c>
      <c r="D180" s="4" t="s">
        <v>48</v>
      </c>
      <c r="E180" s="7">
        <v>9700</v>
      </c>
    </row>
    <row r="181" spans="1:5" x14ac:dyDescent="0.3">
      <c r="A181" s="4">
        <v>190</v>
      </c>
      <c r="B181" s="4" t="s">
        <v>804</v>
      </c>
      <c r="C181" s="4" t="s">
        <v>104</v>
      </c>
      <c r="D181" s="4" t="s">
        <v>37</v>
      </c>
      <c r="E181" s="7">
        <v>9700</v>
      </c>
    </row>
    <row r="182" spans="1:5" x14ac:dyDescent="0.3">
      <c r="A182" s="4">
        <v>190</v>
      </c>
      <c r="B182" s="4" t="s">
        <v>808</v>
      </c>
      <c r="C182" s="4" t="s">
        <v>157</v>
      </c>
      <c r="D182" s="4" t="s">
        <v>249</v>
      </c>
      <c r="E182" s="7">
        <v>9700</v>
      </c>
    </row>
    <row r="183" spans="1:5" x14ac:dyDescent="0.3">
      <c r="A183" s="4">
        <v>190</v>
      </c>
      <c r="B183" s="4" t="s">
        <v>812</v>
      </c>
      <c r="C183" s="4" t="s">
        <v>104</v>
      </c>
      <c r="D183" s="4" t="s">
        <v>350</v>
      </c>
      <c r="E183" s="7">
        <v>9700</v>
      </c>
    </row>
    <row r="184" spans="1:5" x14ac:dyDescent="0.3">
      <c r="A184" s="4">
        <v>195</v>
      </c>
      <c r="B184" s="4" t="s">
        <v>816</v>
      </c>
      <c r="C184" s="4" t="s">
        <v>31</v>
      </c>
      <c r="D184" s="4" t="s">
        <v>37</v>
      </c>
      <c r="E184" s="7">
        <v>9600</v>
      </c>
    </row>
    <row r="185" spans="1:5" x14ac:dyDescent="0.3">
      <c r="A185" s="4">
        <v>195</v>
      </c>
      <c r="B185" s="4" t="s">
        <v>820</v>
      </c>
      <c r="C185" s="4" t="s">
        <v>104</v>
      </c>
      <c r="D185" s="4" t="s">
        <v>291</v>
      </c>
      <c r="E185" s="7">
        <v>9600</v>
      </c>
    </row>
    <row r="186" spans="1:5" x14ac:dyDescent="0.3">
      <c r="A186" s="4">
        <v>195</v>
      </c>
      <c r="B186" s="4" t="s">
        <v>825</v>
      </c>
      <c r="C186" s="4" t="s">
        <v>104</v>
      </c>
      <c r="D186" s="4" t="s">
        <v>249</v>
      </c>
      <c r="E186" s="7">
        <v>9600</v>
      </c>
    </row>
    <row r="187" spans="1:5" x14ac:dyDescent="0.3">
      <c r="A187" s="4">
        <v>195</v>
      </c>
      <c r="B187" s="4" t="s">
        <v>829</v>
      </c>
      <c r="C187" s="4" t="s">
        <v>31</v>
      </c>
      <c r="D187" s="4" t="s">
        <v>102</v>
      </c>
      <c r="E187" s="7">
        <v>9600</v>
      </c>
    </row>
    <row r="188" spans="1:5" x14ac:dyDescent="0.3">
      <c r="A188" s="4">
        <v>195</v>
      </c>
      <c r="B188" s="4" t="s">
        <v>832</v>
      </c>
      <c r="C188" s="4" t="s">
        <v>31</v>
      </c>
      <c r="D188" s="4" t="s">
        <v>102</v>
      </c>
      <c r="E188" s="7">
        <v>9600</v>
      </c>
    </row>
    <row r="189" spans="1:5" x14ac:dyDescent="0.3">
      <c r="A189" s="4">
        <v>195</v>
      </c>
      <c r="B189" s="4" t="s">
        <v>835</v>
      </c>
      <c r="C189" s="4" t="s">
        <v>31</v>
      </c>
      <c r="D189" s="4" t="s">
        <v>102</v>
      </c>
      <c r="E189" s="7">
        <v>9600</v>
      </c>
    </row>
    <row r="190" spans="1:5" x14ac:dyDescent="0.3">
      <c r="A190" s="4">
        <v>195</v>
      </c>
      <c r="B190" s="4" t="s">
        <v>837</v>
      </c>
      <c r="C190" s="4" t="s">
        <v>31</v>
      </c>
      <c r="D190" s="4" t="s">
        <v>102</v>
      </c>
      <c r="E190" s="7">
        <v>9600</v>
      </c>
    </row>
    <row r="191" spans="1:5" x14ac:dyDescent="0.3">
      <c r="A191" s="4">
        <v>202</v>
      </c>
      <c r="B191" s="4" t="s">
        <v>840</v>
      </c>
      <c r="C191" s="4" t="s">
        <v>22</v>
      </c>
      <c r="D191" s="4" t="s">
        <v>48</v>
      </c>
      <c r="E191" s="7">
        <v>9500</v>
      </c>
    </row>
    <row r="192" spans="1:5" x14ac:dyDescent="0.3">
      <c r="A192" s="4">
        <v>202</v>
      </c>
      <c r="B192" s="4" t="s">
        <v>843</v>
      </c>
      <c r="C192" s="4" t="s">
        <v>132</v>
      </c>
      <c r="D192" s="4" t="s">
        <v>71</v>
      </c>
      <c r="E192" s="7">
        <v>9500</v>
      </c>
    </row>
    <row r="193" spans="1:5" x14ac:dyDescent="0.3">
      <c r="A193" s="4">
        <v>204</v>
      </c>
      <c r="B193" s="4" t="s">
        <v>846</v>
      </c>
      <c r="C193" s="4" t="s">
        <v>169</v>
      </c>
      <c r="D193" s="4" t="s">
        <v>350</v>
      </c>
      <c r="E193" s="7">
        <v>9400</v>
      </c>
    </row>
    <row r="194" spans="1:5" x14ac:dyDescent="0.3">
      <c r="A194" s="4">
        <v>204</v>
      </c>
      <c r="B194" s="4" t="s">
        <v>851</v>
      </c>
      <c r="C194" s="4" t="s">
        <v>104</v>
      </c>
      <c r="D194" s="4" t="s">
        <v>37</v>
      </c>
      <c r="E194" s="7">
        <v>9400</v>
      </c>
    </row>
    <row r="195" spans="1:5" x14ac:dyDescent="0.3">
      <c r="A195" s="4">
        <v>206</v>
      </c>
      <c r="B195" s="4" t="s">
        <v>854</v>
      </c>
      <c r="C195" s="4" t="s">
        <v>31</v>
      </c>
      <c r="D195" s="4" t="s">
        <v>37</v>
      </c>
      <c r="E195" s="7">
        <v>9300</v>
      </c>
    </row>
    <row r="196" spans="1:5" x14ac:dyDescent="0.3">
      <c r="A196" s="4">
        <v>206</v>
      </c>
      <c r="B196" s="4" t="s">
        <v>859</v>
      </c>
      <c r="C196" s="4" t="s">
        <v>225</v>
      </c>
      <c r="D196" s="4" t="s">
        <v>249</v>
      </c>
      <c r="E196" s="7">
        <v>9300</v>
      </c>
    </row>
    <row r="197" spans="1:5" x14ac:dyDescent="0.3">
      <c r="A197" s="4">
        <v>208</v>
      </c>
      <c r="B197" s="4" t="s">
        <v>863</v>
      </c>
      <c r="C197" s="4" t="s">
        <v>326</v>
      </c>
      <c r="D197" s="4" t="s">
        <v>71</v>
      </c>
      <c r="E197" s="7">
        <v>9200</v>
      </c>
    </row>
    <row r="198" spans="1:5" x14ac:dyDescent="0.3">
      <c r="A198" s="4">
        <v>208</v>
      </c>
      <c r="B198" s="4" t="s">
        <v>866</v>
      </c>
      <c r="C198" s="4" t="s">
        <v>496</v>
      </c>
      <c r="D198" s="4" t="s">
        <v>71</v>
      </c>
      <c r="E198" s="7">
        <v>9200</v>
      </c>
    </row>
    <row r="199" spans="1:5" x14ac:dyDescent="0.3">
      <c r="A199" s="4">
        <v>208</v>
      </c>
      <c r="B199" s="4" t="s">
        <v>869</v>
      </c>
      <c r="C199" s="4" t="s">
        <v>486</v>
      </c>
      <c r="D199" s="4" t="s">
        <v>291</v>
      </c>
      <c r="E199" s="7">
        <v>9200</v>
      </c>
    </row>
    <row r="200" spans="1:5" x14ac:dyDescent="0.3">
      <c r="A200" s="4">
        <v>208</v>
      </c>
      <c r="B200" s="4" t="s">
        <v>872</v>
      </c>
      <c r="C200" s="4" t="s">
        <v>31</v>
      </c>
      <c r="D200" s="4" t="s">
        <v>58</v>
      </c>
      <c r="E200" s="7">
        <v>9200</v>
      </c>
    </row>
    <row r="201" spans="1:5" x14ac:dyDescent="0.3">
      <c r="A201" s="4">
        <v>208</v>
      </c>
      <c r="B201" s="4" t="s">
        <v>876</v>
      </c>
      <c r="C201" s="4" t="s">
        <v>73</v>
      </c>
      <c r="D201" s="4" t="s">
        <v>37</v>
      </c>
      <c r="E201" s="7">
        <v>9200</v>
      </c>
    </row>
    <row r="202" spans="1:5" x14ac:dyDescent="0.3">
      <c r="A202" s="4">
        <v>208</v>
      </c>
      <c r="B202" s="4" t="s">
        <v>881</v>
      </c>
      <c r="C202" s="4" t="s">
        <v>31</v>
      </c>
      <c r="D202" s="4" t="s">
        <v>48</v>
      </c>
      <c r="E202" s="7">
        <v>9200</v>
      </c>
    </row>
    <row r="203" spans="1:5" x14ac:dyDescent="0.3">
      <c r="A203" s="4">
        <v>208</v>
      </c>
      <c r="B203" s="4" t="s">
        <v>884</v>
      </c>
      <c r="C203" s="4" t="s">
        <v>31</v>
      </c>
      <c r="D203" s="4" t="s">
        <v>20</v>
      </c>
      <c r="E203" s="7">
        <v>9200</v>
      </c>
    </row>
    <row r="204" spans="1:5" x14ac:dyDescent="0.3">
      <c r="A204" s="4">
        <v>215</v>
      </c>
      <c r="B204" s="4" t="s">
        <v>888</v>
      </c>
      <c r="C204" s="4" t="s">
        <v>31</v>
      </c>
      <c r="D204" s="4" t="s">
        <v>37</v>
      </c>
      <c r="E204" s="7">
        <v>9000</v>
      </c>
    </row>
    <row r="205" spans="1:5" x14ac:dyDescent="0.3">
      <c r="A205" s="4">
        <v>215</v>
      </c>
      <c r="B205" s="4" t="s">
        <v>890</v>
      </c>
      <c r="C205" s="4" t="s">
        <v>169</v>
      </c>
      <c r="D205" s="4" t="s">
        <v>271</v>
      </c>
      <c r="E205" s="7">
        <v>9000</v>
      </c>
    </row>
    <row r="206" spans="1:5" x14ac:dyDescent="0.3">
      <c r="A206" s="4">
        <v>215</v>
      </c>
      <c r="B206" s="4" t="s">
        <v>894</v>
      </c>
      <c r="C206" s="4" t="s">
        <v>157</v>
      </c>
      <c r="D206" s="4" t="s">
        <v>461</v>
      </c>
      <c r="E206" s="7">
        <v>9000</v>
      </c>
    </row>
    <row r="207" spans="1:5" x14ac:dyDescent="0.3">
      <c r="A207" s="4">
        <v>215</v>
      </c>
      <c r="B207" s="4" t="s">
        <v>898</v>
      </c>
      <c r="C207" s="4" t="s">
        <v>132</v>
      </c>
      <c r="D207" s="4" t="s">
        <v>102</v>
      </c>
      <c r="E207" s="7">
        <v>9000</v>
      </c>
    </row>
    <row r="208" spans="1:5" x14ac:dyDescent="0.3">
      <c r="A208" s="4">
        <v>215</v>
      </c>
      <c r="B208" s="4" t="s">
        <v>901</v>
      </c>
      <c r="C208" s="4" t="s">
        <v>104</v>
      </c>
      <c r="D208" s="4" t="s">
        <v>249</v>
      </c>
      <c r="E208" s="7">
        <v>9000</v>
      </c>
    </row>
    <row r="209" spans="1:5" x14ac:dyDescent="0.3">
      <c r="A209" s="4">
        <v>220</v>
      </c>
      <c r="B209" s="4" t="s">
        <v>905</v>
      </c>
      <c r="C209" s="4" t="s">
        <v>225</v>
      </c>
      <c r="D209" s="4" t="s">
        <v>102</v>
      </c>
      <c r="E209" s="7">
        <v>8900</v>
      </c>
    </row>
    <row r="210" spans="1:5" x14ac:dyDescent="0.3">
      <c r="A210" s="4">
        <v>220</v>
      </c>
      <c r="B210" s="4" t="s">
        <v>909</v>
      </c>
      <c r="C210" s="4" t="s">
        <v>225</v>
      </c>
      <c r="D210" s="4" t="s">
        <v>102</v>
      </c>
      <c r="E210" s="7">
        <v>8900</v>
      </c>
    </row>
    <row r="211" spans="1:5" x14ac:dyDescent="0.3">
      <c r="A211" s="4">
        <v>220</v>
      </c>
      <c r="B211" s="4" t="s">
        <v>912</v>
      </c>
      <c r="C211" s="4" t="s">
        <v>225</v>
      </c>
      <c r="D211" s="4" t="s">
        <v>102</v>
      </c>
      <c r="E211" s="7">
        <v>8900</v>
      </c>
    </row>
    <row r="212" spans="1:5" x14ac:dyDescent="0.3">
      <c r="A212" s="4">
        <v>223</v>
      </c>
      <c r="B212" s="4" t="s">
        <v>915</v>
      </c>
      <c r="C212" s="4" t="s">
        <v>326</v>
      </c>
      <c r="D212" s="4" t="s">
        <v>20</v>
      </c>
      <c r="E212" s="7">
        <v>8800</v>
      </c>
    </row>
    <row r="213" spans="1:5" x14ac:dyDescent="0.3">
      <c r="A213" s="4">
        <v>223</v>
      </c>
      <c r="B213" s="4" t="s">
        <v>920</v>
      </c>
      <c r="C213" s="4" t="s">
        <v>31</v>
      </c>
      <c r="D213" s="4" t="s">
        <v>37</v>
      </c>
      <c r="E213" s="7">
        <v>8800</v>
      </c>
    </row>
    <row r="214" spans="1:5" x14ac:dyDescent="0.3">
      <c r="A214" s="4">
        <v>223</v>
      </c>
      <c r="B214" s="4" t="s">
        <v>923</v>
      </c>
      <c r="C214" s="4" t="s">
        <v>104</v>
      </c>
      <c r="D214" s="4" t="s">
        <v>37</v>
      </c>
      <c r="E214" s="7">
        <v>8800</v>
      </c>
    </row>
    <row r="215" spans="1:5" x14ac:dyDescent="0.3">
      <c r="A215" s="4">
        <v>223</v>
      </c>
      <c r="B215" s="4" t="s">
        <v>925</v>
      </c>
      <c r="C215" s="4" t="s">
        <v>31</v>
      </c>
      <c r="D215" s="4" t="s">
        <v>37</v>
      </c>
      <c r="E215" s="7">
        <v>8800</v>
      </c>
    </row>
    <row r="216" spans="1:5" x14ac:dyDescent="0.3">
      <c r="A216" s="4">
        <v>223</v>
      </c>
      <c r="B216" s="4" t="s">
        <v>928</v>
      </c>
      <c r="C216" s="4" t="s">
        <v>31</v>
      </c>
      <c r="D216" s="4" t="s">
        <v>37</v>
      </c>
      <c r="E216" s="7">
        <v>8800</v>
      </c>
    </row>
    <row r="217" spans="1:5" x14ac:dyDescent="0.3">
      <c r="A217" s="4">
        <v>223</v>
      </c>
      <c r="B217" s="4" t="s">
        <v>933</v>
      </c>
      <c r="C217" s="4" t="s">
        <v>104</v>
      </c>
      <c r="D217" s="4" t="s">
        <v>291</v>
      </c>
      <c r="E217" s="7">
        <v>8800</v>
      </c>
    </row>
    <row r="218" spans="1:5" x14ac:dyDescent="0.3">
      <c r="A218" s="4">
        <v>223</v>
      </c>
      <c r="B218" s="4" t="s">
        <v>936</v>
      </c>
      <c r="C218" s="4" t="s">
        <v>225</v>
      </c>
      <c r="D218" s="4" t="s">
        <v>291</v>
      </c>
      <c r="E218" s="7">
        <v>8800</v>
      </c>
    </row>
    <row r="219" spans="1:5" x14ac:dyDescent="0.3">
      <c r="A219" s="4">
        <v>230</v>
      </c>
      <c r="B219" s="4" t="s">
        <v>939</v>
      </c>
      <c r="C219" s="4" t="s">
        <v>104</v>
      </c>
      <c r="D219" s="4" t="s">
        <v>249</v>
      </c>
      <c r="E219" s="7">
        <v>8700</v>
      </c>
    </row>
    <row r="220" spans="1:5" x14ac:dyDescent="0.3">
      <c r="A220" s="4">
        <v>230</v>
      </c>
      <c r="B220" s="4" t="s">
        <v>942</v>
      </c>
      <c r="C220" s="4" t="s">
        <v>157</v>
      </c>
      <c r="D220" s="4" t="s">
        <v>20</v>
      </c>
      <c r="E220" s="7">
        <v>8700</v>
      </c>
    </row>
    <row r="221" spans="1:5" x14ac:dyDescent="0.3">
      <c r="A221" s="4">
        <v>232</v>
      </c>
      <c r="B221" s="4" t="s">
        <v>944</v>
      </c>
      <c r="C221" s="4" t="s">
        <v>31</v>
      </c>
      <c r="D221" s="4" t="s">
        <v>48</v>
      </c>
      <c r="E221" s="7">
        <v>8600</v>
      </c>
    </row>
    <row r="222" spans="1:5" x14ac:dyDescent="0.3">
      <c r="A222" s="4">
        <v>232</v>
      </c>
      <c r="B222" s="4" t="s">
        <v>947</v>
      </c>
      <c r="C222" s="4" t="s">
        <v>948</v>
      </c>
      <c r="D222" s="4" t="s">
        <v>48</v>
      </c>
      <c r="E222" s="7">
        <v>8600</v>
      </c>
    </row>
    <row r="223" spans="1:5" x14ac:dyDescent="0.3">
      <c r="A223" s="4">
        <v>232</v>
      </c>
      <c r="B223" s="4" t="s">
        <v>953</v>
      </c>
      <c r="C223" s="4" t="s">
        <v>73</v>
      </c>
      <c r="D223" s="4" t="s">
        <v>102</v>
      </c>
      <c r="E223" s="7">
        <v>8600</v>
      </c>
    </row>
    <row r="224" spans="1:5" x14ac:dyDescent="0.3">
      <c r="A224" s="4">
        <v>232</v>
      </c>
      <c r="B224" s="4" t="s">
        <v>957</v>
      </c>
      <c r="C224" s="4" t="s">
        <v>157</v>
      </c>
      <c r="D224" s="4" t="s">
        <v>37</v>
      </c>
      <c r="E224" s="7">
        <v>8600</v>
      </c>
    </row>
    <row r="225" spans="1:5" x14ac:dyDescent="0.3">
      <c r="A225" s="4">
        <v>232</v>
      </c>
      <c r="B225" s="4" t="s">
        <v>961</v>
      </c>
      <c r="C225" s="4" t="s">
        <v>169</v>
      </c>
      <c r="D225" s="4" t="s">
        <v>102</v>
      </c>
      <c r="E225" s="7">
        <v>8600</v>
      </c>
    </row>
    <row r="226" spans="1:5" x14ac:dyDescent="0.3">
      <c r="A226" s="4">
        <v>232</v>
      </c>
      <c r="B226" s="4" t="s">
        <v>965</v>
      </c>
      <c r="C226" s="4" t="s">
        <v>966</v>
      </c>
      <c r="D226" s="4" t="s">
        <v>461</v>
      </c>
      <c r="E226" s="7">
        <v>8600</v>
      </c>
    </row>
    <row r="227" spans="1:5" x14ac:dyDescent="0.3">
      <c r="A227" s="4">
        <v>232</v>
      </c>
      <c r="B227" s="4" t="s">
        <v>971</v>
      </c>
      <c r="C227" s="4" t="s">
        <v>31</v>
      </c>
      <c r="D227" s="4" t="s">
        <v>37</v>
      </c>
      <c r="E227" s="7">
        <v>8600</v>
      </c>
    </row>
    <row r="228" spans="1:5" x14ac:dyDescent="0.3">
      <c r="A228" s="4">
        <v>239</v>
      </c>
      <c r="B228" s="4" t="s">
        <v>973</v>
      </c>
      <c r="C228" s="4" t="s">
        <v>31</v>
      </c>
      <c r="D228" s="4" t="s">
        <v>48</v>
      </c>
      <c r="E228" s="7">
        <v>8500</v>
      </c>
    </row>
    <row r="229" spans="1:5" x14ac:dyDescent="0.3">
      <c r="A229" s="4">
        <v>239</v>
      </c>
      <c r="B229" s="4" t="s">
        <v>976</v>
      </c>
      <c r="C229" s="4" t="s">
        <v>31</v>
      </c>
      <c r="D229" s="4" t="s">
        <v>20</v>
      </c>
      <c r="E229" s="7">
        <v>8500</v>
      </c>
    </row>
    <row r="230" spans="1:5" x14ac:dyDescent="0.3">
      <c r="A230" s="4">
        <v>239</v>
      </c>
      <c r="B230" s="4" t="s">
        <v>978</v>
      </c>
      <c r="C230" s="4" t="s">
        <v>104</v>
      </c>
      <c r="D230" s="4" t="s">
        <v>249</v>
      </c>
      <c r="E230" s="7">
        <v>8500</v>
      </c>
    </row>
    <row r="231" spans="1:5" x14ac:dyDescent="0.3">
      <c r="A231" s="4">
        <v>242</v>
      </c>
      <c r="B231" s="4" t="s">
        <v>982</v>
      </c>
      <c r="C231" s="4" t="s">
        <v>31</v>
      </c>
      <c r="D231" s="4" t="s">
        <v>58</v>
      </c>
      <c r="E231" s="7">
        <v>8400</v>
      </c>
    </row>
    <row r="232" spans="1:5" x14ac:dyDescent="0.3">
      <c r="A232" s="4">
        <v>242</v>
      </c>
      <c r="B232" s="4" t="s">
        <v>986</v>
      </c>
      <c r="C232" s="4" t="s">
        <v>685</v>
      </c>
      <c r="D232" s="4" t="s">
        <v>271</v>
      </c>
      <c r="E232" s="7">
        <v>8400</v>
      </c>
    </row>
    <row r="233" spans="1:5" x14ac:dyDescent="0.3">
      <c r="A233" s="4">
        <v>242</v>
      </c>
      <c r="B233" s="4" t="s">
        <v>991</v>
      </c>
      <c r="C233" s="4" t="s">
        <v>273</v>
      </c>
      <c r="D233" s="4" t="s">
        <v>58</v>
      </c>
      <c r="E233" s="7">
        <v>8400</v>
      </c>
    </row>
    <row r="234" spans="1:5" x14ac:dyDescent="0.3">
      <c r="A234" s="4">
        <v>242</v>
      </c>
      <c r="B234" s="4" t="s">
        <v>995</v>
      </c>
      <c r="C234" s="4" t="s">
        <v>104</v>
      </c>
      <c r="D234" s="4" t="s">
        <v>271</v>
      </c>
      <c r="E234" s="7">
        <v>8400</v>
      </c>
    </row>
    <row r="235" spans="1:5" x14ac:dyDescent="0.3">
      <c r="A235" s="4">
        <v>246</v>
      </c>
      <c r="B235" s="4" t="s">
        <v>1000</v>
      </c>
      <c r="C235" s="4" t="s">
        <v>31</v>
      </c>
      <c r="D235" s="4" t="s">
        <v>20</v>
      </c>
      <c r="E235" s="7">
        <v>8300</v>
      </c>
    </row>
    <row r="236" spans="1:5" x14ac:dyDescent="0.3">
      <c r="A236" s="4">
        <v>249</v>
      </c>
      <c r="B236" s="4" t="s">
        <v>1004</v>
      </c>
      <c r="C236" s="4" t="s">
        <v>326</v>
      </c>
      <c r="D236" s="4" t="s">
        <v>291</v>
      </c>
      <c r="E236" s="7">
        <v>8200</v>
      </c>
    </row>
    <row r="237" spans="1:5" x14ac:dyDescent="0.3">
      <c r="A237" s="4">
        <v>249</v>
      </c>
      <c r="B237" s="4" t="s">
        <v>1006</v>
      </c>
      <c r="C237" s="4" t="s">
        <v>564</v>
      </c>
      <c r="D237" s="4" t="s">
        <v>71</v>
      </c>
      <c r="E237" s="7">
        <v>8200</v>
      </c>
    </row>
    <row r="238" spans="1:5" x14ac:dyDescent="0.3">
      <c r="A238" s="4">
        <v>249</v>
      </c>
      <c r="B238" s="4" t="s">
        <v>1009</v>
      </c>
      <c r="C238" s="4" t="s">
        <v>31</v>
      </c>
      <c r="D238" s="4" t="s">
        <v>48</v>
      </c>
      <c r="E238" s="7">
        <v>8200</v>
      </c>
    </row>
    <row r="239" spans="1:5" x14ac:dyDescent="0.3">
      <c r="A239" s="4">
        <v>249</v>
      </c>
      <c r="B239" s="4" t="s">
        <v>1011</v>
      </c>
      <c r="C239" s="4" t="s">
        <v>73</v>
      </c>
      <c r="D239" s="4" t="s">
        <v>461</v>
      </c>
      <c r="E239" s="7">
        <v>8200</v>
      </c>
    </row>
    <row r="240" spans="1:5" x14ac:dyDescent="0.3">
      <c r="A240" s="4">
        <v>249</v>
      </c>
      <c r="B240" s="4" t="s">
        <v>1014</v>
      </c>
      <c r="C240" s="4" t="s">
        <v>104</v>
      </c>
      <c r="D240" s="4" t="s">
        <v>461</v>
      </c>
      <c r="E240" s="7">
        <v>8200</v>
      </c>
    </row>
    <row r="241" spans="1:5" x14ac:dyDescent="0.3">
      <c r="A241" s="4">
        <v>249</v>
      </c>
      <c r="B241" s="4" t="s">
        <v>1016</v>
      </c>
      <c r="C241" s="4" t="s">
        <v>104</v>
      </c>
      <c r="D241" s="4" t="s">
        <v>461</v>
      </c>
      <c r="E241" s="7">
        <v>8200</v>
      </c>
    </row>
    <row r="242" spans="1:5" x14ac:dyDescent="0.3">
      <c r="A242" s="4">
        <v>256</v>
      </c>
      <c r="B242" s="4" t="s">
        <v>1019</v>
      </c>
      <c r="C242" s="4" t="s">
        <v>22</v>
      </c>
      <c r="D242" s="4" t="s">
        <v>71</v>
      </c>
      <c r="E242" s="7">
        <v>8100</v>
      </c>
    </row>
    <row r="243" spans="1:5" x14ac:dyDescent="0.3">
      <c r="A243" s="4">
        <v>256</v>
      </c>
      <c r="B243" s="4" t="s">
        <v>1022</v>
      </c>
      <c r="C243" s="4" t="s">
        <v>22</v>
      </c>
      <c r="D243" s="4" t="s">
        <v>71</v>
      </c>
      <c r="E243" s="7">
        <v>8100</v>
      </c>
    </row>
    <row r="244" spans="1:5" x14ac:dyDescent="0.3">
      <c r="A244" s="4">
        <v>256</v>
      </c>
      <c r="B244" s="4" t="s">
        <v>1024</v>
      </c>
      <c r="C244" s="4" t="s">
        <v>31</v>
      </c>
      <c r="D244" s="4" t="s">
        <v>102</v>
      </c>
      <c r="E244" s="7">
        <v>8100</v>
      </c>
    </row>
    <row r="245" spans="1:5" x14ac:dyDescent="0.3">
      <c r="A245" s="4">
        <v>256</v>
      </c>
      <c r="B245" s="4" t="s">
        <v>1028</v>
      </c>
      <c r="C245" s="4" t="s">
        <v>22</v>
      </c>
      <c r="D245" s="4" t="s">
        <v>71</v>
      </c>
      <c r="E245" s="7">
        <v>8100</v>
      </c>
    </row>
    <row r="246" spans="1:5" x14ac:dyDescent="0.3">
      <c r="A246" s="4">
        <v>256</v>
      </c>
      <c r="B246" s="4" t="s">
        <v>1031</v>
      </c>
      <c r="C246" s="4" t="s">
        <v>169</v>
      </c>
      <c r="D246" s="4" t="s">
        <v>195</v>
      </c>
      <c r="E246" s="7">
        <v>8100</v>
      </c>
    </row>
    <row r="247" spans="1:5" x14ac:dyDescent="0.3">
      <c r="A247" s="4">
        <v>261</v>
      </c>
      <c r="B247" s="4" t="s">
        <v>1036</v>
      </c>
      <c r="C247" s="4" t="s">
        <v>31</v>
      </c>
      <c r="D247" s="4" t="s">
        <v>37</v>
      </c>
      <c r="E247" s="7">
        <v>8000</v>
      </c>
    </row>
    <row r="248" spans="1:5" x14ac:dyDescent="0.3">
      <c r="A248" s="4">
        <v>261</v>
      </c>
      <c r="B248" s="4" t="s">
        <v>1039</v>
      </c>
      <c r="C248" s="4" t="s">
        <v>326</v>
      </c>
      <c r="D248" s="4" t="s">
        <v>291</v>
      </c>
      <c r="E248" s="7">
        <v>8000</v>
      </c>
    </row>
    <row r="249" spans="1:5" x14ac:dyDescent="0.3">
      <c r="A249" s="4">
        <v>261</v>
      </c>
      <c r="B249" s="4" t="s">
        <v>1041</v>
      </c>
      <c r="C249" s="4" t="s">
        <v>31</v>
      </c>
      <c r="D249" s="4" t="s">
        <v>20</v>
      </c>
      <c r="E249" s="7">
        <v>8000</v>
      </c>
    </row>
    <row r="250" spans="1:5" x14ac:dyDescent="0.3">
      <c r="A250" s="4">
        <v>261</v>
      </c>
      <c r="B250" s="4" t="s">
        <v>1044</v>
      </c>
      <c r="C250" s="4" t="s">
        <v>31</v>
      </c>
      <c r="D250" s="4" t="s">
        <v>48</v>
      </c>
      <c r="E250" s="7">
        <v>8000</v>
      </c>
    </row>
    <row r="251" spans="1:5" x14ac:dyDescent="0.3">
      <c r="A251" s="4">
        <v>261</v>
      </c>
      <c r="B251" s="4" t="s">
        <v>1049</v>
      </c>
      <c r="C251" s="4" t="s">
        <v>31</v>
      </c>
      <c r="D251" s="4" t="s">
        <v>48</v>
      </c>
      <c r="E251" s="7">
        <v>8000</v>
      </c>
    </row>
    <row r="252" spans="1:5" x14ac:dyDescent="0.3">
      <c r="A252" s="4">
        <v>261</v>
      </c>
      <c r="B252" s="4" t="s">
        <v>1052</v>
      </c>
      <c r="C252" s="4" t="s">
        <v>486</v>
      </c>
      <c r="D252" s="4" t="s">
        <v>271</v>
      </c>
      <c r="E252" s="7">
        <v>8000</v>
      </c>
    </row>
    <row r="253" spans="1:5" x14ac:dyDescent="0.3">
      <c r="A253" s="4">
        <v>268</v>
      </c>
      <c r="B253" s="4" t="s">
        <v>1055</v>
      </c>
      <c r="C253" s="4" t="s">
        <v>31</v>
      </c>
      <c r="D253" s="4" t="s">
        <v>48</v>
      </c>
      <c r="E253" s="7">
        <v>7900</v>
      </c>
    </row>
    <row r="254" spans="1:5" x14ac:dyDescent="0.3">
      <c r="A254" s="4">
        <v>268</v>
      </c>
      <c r="B254" s="4" t="s">
        <v>1059</v>
      </c>
      <c r="C254" s="4" t="s">
        <v>104</v>
      </c>
      <c r="D254" s="4" t="s">
        <v>20</v>
      </c>
      <c r="E254" s="7">
        <v>7900</v>
      </c>
    </row>
    <row r="255" spans="1:5" x14ac:dyDescent="0.3">
      <c r="A255" s="4">
        <v>268</v>
      </c>
      <c r="B255" s="4" t="s">
        <v>1063</v>
      </c>
      <c r="C255" s="4" t="s">
        <v>31</v>
      </c>
      <c r="D255" s="4" t="s">
        <v>20</v>
      </c>
      <c r="E255" s="7">
        <v>7900</v>
      </c>
    </row>
    <row r="256" spans="1:5" x14ac:dyDescent="0.3">
      <c r="A256" s="4">
        <v>268</v>
      </c>
      <c r="B256" s="4" t="s">
        <v>1067</v>
      </c>
      <c r="C256" s="4" t="s">
        <v>799</v>
      </c>
      <c r="D256" s="4" t="s">
        <v>37</v>
      </c>
      <c r="E256" s="7">
        <v>7900</v>
      </c>
    </row>
    <row r="257" spans="1:5" x14ac:dyDescent="0.3">
      <c r="A257" s="4">
        <v>268</v>
      </c>
      <c r="B257" s="4" t="s">
        <v>1071</v>
      </c>
      <c r="C257" s="4" t="s">
        <v>31</v>
      </c>
      <c r="D257" s="4" t="s">
        <v>48</v>
      </c>
      <c r="E257" s="7">
        <v>7900</v>
      </c>
    </row>
    <row r="258" spans="1:5" x14ac:dyDescent="0.3">
      <c r="A258" s="4">
        <v>268</v>
      </c>
      <c r="B258" s="4" t="s">
        <v>1074</v>
      </c>
      <c r="C258" s="4" t="s">
        <v>31</v>
      </c>
      <c r="D258" s="4" t="s">
        <v>48</v>
      </c>
      <c r="E258" s="7">
        <v>7900</v>
      </c>
    </row>
    <row r="259" spans="1:5" x14ac:dyDescent="0.3">
      <c r="A259" s="4">
        <v>268</v>
      </c>
      <c r="B259" s="4" t="s">
        <v>1076</v>
      </c>
      <c r="C259" s="4" t="s">
        <v>326</v>
      </c>
      <c r="D259" s="4" t="s">
        <v>271</v>
      </c>
      <c r="E259" s="7">
        <v>7900</v>
      </c>
    </row>
    <row r="260" spans="1:5" x14ac:dyDescent="0.3">
      <c r="A260" s="4">
        <v>268</v>
      </c>
      <c r="B260" s="4" t="s">
        <v>1079</v>
      </c>
      <c r="C260" s="4" t="s">
        <v>207</v>
      </c>
      <c r="D260" s="4" t="s">
        <v>71</v>
      </c>
      <c r="E260" s="7">
        <v>7900</v>
      </c>
    </row>
    <row r="261" spans="1:5" x14ac:dyDescent="0.3">
      <c r="A261" s="4">
        <v>276</v>
      </c>
      <c r="B261" s="4" t="s">
        <v>1083</v>
      </c>
      <c r="C261" s="4" t="s">
        <v>31</v>
      </c>
      <c r="D261" s="4" t="s">
        <v>64</v>
      </c>
      <c r="E261" s="7">
        <v>7800</v>
      </c>
    </row>
    <row r="262" spans="1:5" x14ac:dyDescent="0.3">
      <c r="A262" s="4">
        <v>276</v>
      </c>
      <c r="B262" s="4" t="s">
        <v>1087</v>
      </c>
      <c r="C262" s="4" t="s">
        <v>104</v>
      </c>
      <c r="D262" s="4" t="s">
        <v>249</v>
      </c>
      <c r="E262" s="7">
        <v>7800</v>
      </c>
    </row>
    <row r="263" spans="1:5" x14ac:dyDescent="0.3">
      <c r="A263" s="4">
        <v>276</v>
      </c>
      <c r="B263" s="4" t="s">
        <v>1090</v>
      </c>
      <c r="C263" s="4" t="s">
        <v>104</v>
      </c>
      <c r="D263" s="4" t="s">
        <v>37</v>
      </c>
      <c r="E263" s="7">
        <v>7800</v>
      </c>
    </row>
    <row r="264" spans="1:5" x14ac:dyDescent="0.3">
      <c r="A264" s="4">
        <v>276</v>
      </c>
      <c r="B264" s="4" t="s">
        <v>1094</v>
      </c>
      <c r="C264" s="4" t="s">
        <v>104</v>
      </c>
      <c r="D264" s="4" t="s">
        <v>249</v>
      </c>
      <c r="E264" s="7">
        <v>7800</v>
      </c>
    </row>
    <row r="265" spans="1:5" x14ac:dyDescent="0.3">
      <c r="A265" s="4">
        <v>282</v>
      </c>
      <c r="B265" s="4" t="s">
        <v>1098</v>
      </c>
      <c r="C265" s="4" t="s">
        <v>22</v>
      </c>
      <c r="D265" s="4" t="s">
        <v>102</v>
      </c>
      <c r="E265" s="7">
        <v>7700</v>
      </c>
    </row>
    <row r="266" spans="1:5" x14ac:dyDescent="0.3">
      <c r="A266" s="4">
        <v>282</v>
      </c>
      <c r="B266" s="4" t="s">
        <v>1100</v>
      </c>
      <c r="C266" s="4" t="s">
        <v>22</v>
      </c>
      <c r="D266" s="4" t="s">
        <v>102</v>
      </c>
      <c r="E266" s="7">
        <v>7700</v>
      </c>
    </row>
    <row r="267" spans="1:5" x14ac:dyDescent="0.3">
      <c r="A267" s="4">
        <v>282</v>
      </c>
      <c r="B267" s="4" t="s">
        <v>1103</v>
      </c>
      <c r="C267" s="4" t="s">
        <v>31</v>
      </c>
      <c r="D267" s="4" t="s">
        <v>58</v>
      </c>
      <c r="E267" s="7">
        <v>7700</v>
      </c>
    </row>
    <row r="268" spans="1:5" x14ac:dyDescent="0.3">
      <c r="A268" s="4">
        <v>282</v>
      </c>
      <c r="B268" s="4" t="s">
        <v>1106</v>
      </c>
      <c r="C268" s="4" t="s">
        <v>104</v>
      </c>
      <c r="D268" s="4" t="s">
        <v>37</v>
      </c>
      <c r="E268" s="7">
        <v>7700</v>
      </c>
    </row>
    <row r="269" spans="1:5" x14ac:dyDescent="0.3">
      <c r="A269" s="4">
        <v>282</v>
      </c>
      <c r="B269" s="4" t="s">
        <v>1108</v>
      </c>
      <c r="C269" s="4" t="s">
        <v>104</v>
      </c>
      <c r="D269" s="4" t="s">
        <v>380</v>
      </c>
      <c r="E269" s="7">
        <v>7700</v>
      </c>
    </row>
    <row r="270" spans="1:5" x14ac:dyDescent="0.3">
      <c r="A270" s="4">
        <v>282</v>
      </c>
      <c r="B270" s="4" t="s">
        <v>1110</v>
      </c>
      <c r="C270" s="4" t="s">
        <v>31</v>
      </c>
      <c r="D270" s="4" t="s">
        <v>37</v>
      </c>
      <c r="E270" s="7">
        <v>7700</v>
      </c>
    </row>
    <row r="271" spans="1:5" x14ac:dyDescent="0.3">
      <c r="A271" s="4">
        <v>282</v>
      </c>
      <c r="B271" s="4" t="s">
        <v>1113</v>
      </c>
      <c r="C271" s="4" t="s">
        <v>31</v>
      </c>
      <c r="D271" s="4" t="s">
        <v>350</v>
      </c>
      <c r="E271" s="7">
        <v>7700</v>
      </c>
    </row>
    <row r="272" spans="1:5" x14ac:dyDescent="0.3">
      <c r="A272" s="4">
        <v>282</v>
      </c>
      <c r="B272" s="4" t="s">
        <v>1115</v>
      </c>
      <c r="C272" s="4" t="s">
        <v>1116</v>
      </c>
      <c r="D272" s="4" t="s">
        <v>461</v>
      </c>
      <c r="E272" s="7">
        <v>7700</v>
      </c>
    </row>
    <row r="273" spans="1:5" x14ac:dyDescent="0.3">
      <c r="A273" s="4">
        <v>290</v>
      </c>
      <c r="B273" s="4" t="s">
        <v>1121</v>
      </c>
      <c r="C273" s="4" t="s">
        <v>104</v>
      </c>
      <c r="D273" s="4" t="s">
        <v>291</v>
      </c>
      <c r="E273" s="7">
        <v>7600</v>
      </c>
    </row>
    <row r="274" spans="1:5" x14ac:dyDescent="0.3">
      <c r="A274" s="4">
        <v>290</v>
      </c>
      <c r="B274" s="4" t="s">
        <v>1126</v>
      </c>
      <c r="C274" s="4" t="s">
        <v>73</v>
      </c>
      <c r="D274" s="4" t="s">
        <v>350</v>
      </c>
      <c r="E274" s="7">
        <v>7600</v>
      </c>
    </row>
    <row r="275" spans="1:5" x14ac:dyDescent="0.3">
      <c r="A275" s="4">
        <v>290</v>
      </c>
      <c r="B275" s="4" t="s">
        <v>1129</v>
      </c>
      <c r="C275" s="4" t="s">
        <v>225</v>
      </c>
      <c r="D275" s="4" t="s">
        <v>249</v>
      </c>
      <c r="E275" s="7">
        <v>7600</v>
      </c>
    </row>
    <row r="276" spans="1:5" x14ac:dyDescent="0.3">
      <c r="A276" s="4">
        <v>290</v>
      </c>
      <c r="B276" s="4" t="s">
        <v>1131</v>
      </c>
      <c r="C276" s="4" t="s">
        <v>31</v>
      </c>
      <c r="D276" s="4" t="s">
        <v>37</v>
      </c>
      <c r="E276" s="7">
        <v>7600</v>
      </c>
    </row>
    <row r="277" spans="1:5" x14ac:dyDescent="0.3">
      <c r="A277" s="4">
        <v>290</v>
      </c>
      <c r="B277" s="4" t="s">
        <v>1134</v>
      </c>
      <c r="C277" s="4" t="s">
        <v>554</v>
      </c>
      <c r="D277" s="4" t="s">
        <v>461</v>
      </c>
      <c r="E277" s="7">
        <v>7600</v>
      </c>
    </row>
    <row r="278" spans="1:5" x14ac:dyDescent="0.3">
      <c r="A278" s="4">
        <v>290</v>
      </c>
      <c r="B278" s="4" t="s">
        <v>1136</v>
      </c>
      <c r="C278" s="4" t="s">
        <v>225</v>
      </c>
      <c r="D278" s="4" t="s">
        <v>249</v>
      </c>
      <c r="E278" s="7">
        <v>7600</v>
      </c>
    </row>
    <row r="279" spans="1:5" x14ac:dyDescent="0.3">
      <c r="A279" s="4">
        <v>290</v>
      </c>
      <c r="B279" s="4" t="s">
        <v>1138</v>
      </c>
      <c r="C279" s="4" t="s">
        <v>31</v>
      </c>
      <c r="D279" s="4" t="s">
        <v>461</v>
      </c>
      <c r="E279" s="7">
        <v>7600</v>
      </c>
    </row>
    <row r="280" spans="1:5" x14ac:dyDescent="0.3">
      <c r="A280" s="4">
        <v>290</v>
      </c>
      <c r="B280" s="4" t="s">
        <v>1140</v>
      </c>
      <c r="C280" s="4" t="s">
        <v>104</v>
      </c>
      <c r="D280" s="4" t="s">
        <v>350</v>
      </c>
      <c r="E280" s="7">
        <v>7600</v>
      </c>
    </row>
    <row r="281" spans="1:5" x14ac:dyDescent="0.3">
      <c r="A281" s="4">
        <v>299</v>
      </c>
      <c r="B281" s="4" t="s">
        <v>1142</v>
      </c>
      <c r="C281" s="4" t="s">
        <v>31</v>
      </c>
      <c r="D281" s="4" t="s">
        <v>589</v>
      </c>
      <c r="E281" s="7">
        <v>7500</v>
      </c>
    </row>
    <row r="282" spans="1:5" x14ac:dyDescent="0.3">
      <c r="A282" s="4">
        <v>299</v>
      </c>
      <c r="B282" s="4" t="s">
        <v>1145</v>
      </c>
      <c r="C282" s="4" t="s">
        <v>31</v>
      </c>
      <c r="D282" s="4" t="s">
        <v>20</v>
      </c>
      <c r="E282" s="7">
        <v>7500</v>
      </c>
    </row>
    <row r="283" spans="1:5" x14ac:dyDescent="0.3">
      <c r="A283" s="4">
        <v>299</v>
      </c>
      <c r="B283" s="4" t="s">
        <v>1149</v>
      </c>
      <c r="C283" s="4" t="s">
        <v>104</v>
      </c>
      <c r="D283" s="4" t="s">
        <v>20</v>
      </c>
      <c r="E283" s="7">
        <v>7500</v>
      </c>
    </row>
    <row r="284" spans="1:5" x14ac:dyDescent="0.3">
      <c r="A284" s="4">
        <v>299</v>
      </c>
      <c r="B284" s="4" t="s">
        <v>1151</v>
      </c>
      <c r="C284" s="4" t="s">
        <v>31</v>
      </c>
      <c r="D284" s="4" t="s">
        <v>48</v>
      </c>
      <c r="E284" s="7">
        <v>7500</v>
      </c>
    </row>
    <row r="285" spans="1:5" x14ac:dyDescent="0.3">
      <c r="A285" s="4">
        <v>299</v>
      </c>
      <c r="B285" s="4" t="s">
        <v>1153</v>
      </c>
      <c r="C285" s="4" t="s">
        <v>31</v>
      </c>
      <c r="D285" s="4" t="s">
        <v>48</v>
      </c>
      <c r="E285" s="7">
        <v>7500</v>
      </c>
    </row>
    <row r="286" spans="1:5" x14ac:dyDescent="0.3">
      <c r="A286" s="4">
        <v>299</v>
      </c>
      <c r="B286" s="4" t="s">
        <v>1155</v>
      </c>
      <c r="C286" s="4" t="s">
        <v>554</v>
      </c>
      <c r="D286" s="4" t="s">
        <v>102</v>
      </c>
      <c r="E286" s="7">
        <v>7500</v>
      </c>
    </row>
    <row r="287" spans="1:5" x14ac:dyDescent="0.3">
      <c r="A287" s="4">
        <v>305</v>
      </c>
      <c r="B287" s="4" t="s">
        <v>1158</v>
      </c>
      <c r="C287" s="4" t="s">
        <v>31</v>
      </c>
      <c r="D287" s="4" t="s">
        <v>37</v>
      </c>
      <c r="E287" s="7">
        <v>7400</v>
      </c>
    </row>
    <row r="288" spans="1:5" x14ac:dyDescent="0.3">
      <c r="A288" s="4">
        <v>305</v>
      </c>
      <c r="B288" s="4" t="s">
        <v>1161</v>
      </c>
      <c r="C288" s="4" t="s">
        <v>225</v>
      </c>
      <c r="D288" s="4" t="s">
        <v>249</v>
      </c>
      <c r="E288" s="7">
        <v>7400</v>
      </c>
    </row>
    <row r="289" spans="1:5" x14ac:dyDescent="0.3">
      <c r="A289" s="4">
        <v>305</v>
      </c>
      <c r="B289" s="4" t="s">
        <v>1164</v>
      </c>
      <c r="C289" s="4" t="s">
        <v>104</v>
      </c>
      <c r="D289" s="4" t="s">
        <v>20</v>
      </c>
      <c r="E289" s="7">
        <v>7400</v>
      </c>
    </row>
    <row r="290" spans="1:5" x14ac:dyDescent="0.3">
      <c r="A290" s="4">
        <v>305</v>
      </c>
      <c r="B290" s="4" t="s">
        <v>1167</v>
      </c>
      <c r="C290" s="4" t="s">
        <v>554</v>
      </c>
      <c r="D290" s="4" t="s">
        <v>461</v>
      </c>
      <c r="E290" s="7">
        <v>7400</v>
      </c>
    </row>
    <row r="291" spans="1:5" x14ac:dyDescent="0.3">
      <c r="A291" s="4">
        <v>305</v>
      </c>
      <c r="B291" s="4" t="s">
        <v>1168</v>
      </c>
      <c r="C291" s="4" t="s">
        <v>31</v>
      </c>
      <c r="D291" s="4" t="s">
        <v>249</v>
      </c>
      <c r="E291" s="7">
        <v>7400</v>
      </c>
    </row>
    <row r="292" spans="1:5" x14ac:dyDescent="0.3">
      <c r="A292" s="4">
        <v>305</v>
      </c>
      <c r="B292" s="4" t="s">
        <v>1173</v>
      </c>
      <c r="C292" s="4" t="s">
        <v>1174</v>
      </c>
      <c r="D292" s="4" t="s">
        <v>579</v>
      </c>
      <c r="E292" s="7">
        <v>7400</v>
      </c>
    </row>
    <row r="293" spans="1:5" x14ac:dyDescent="0.3">
      <c r="A293" s="4">
        <v>305</v>
      </c>
      <c r="B293" s="4" t="s">
        <v>1180</v>
      </c>
      <c r="C293" s="4" t="s">
        <v>31</v>
      </c>
      <c r="D293" s="4" t="s">
        <v>102</v>
      </c>
      <c r="E293" s="7">
        <v>7400</v>
      </c>
    </row>
    <row r="294" spans="1:5" x14ac:dyDescent="0.3">
      <c r="A294" s="4">
        <v>312</v>
      </c>
      <c r="B294" s="4" t="s">
        <v>1184</v>
      </c>
      <c r="C294" s="4" t="s">
        <v>73</v>
      </c>
      <c r="D294" s="4" t="s">
        <v>249</v>
      </c>
      <c r="E294" s="7">
        <v>7300</v>
      </c>
    </row>
    <row r="295" spans="1:5" x14ac:dyDescent="0.3">
      <c r="A295" s="4">
        <v>312</v>
      </c>
      <c r="B295" s="4" t="s">
        <v>1189</v>
      </c>
      <c r="C295" s="4" t="s">
        <v>326</v>
      </c>
      <c r="D295" s="4" t="s">
        <v>271</v>
      </c>
      <c r="E295" s="7">
        <v>7300</v>
      </c>
    </row>
    <row r="296" spans="1:5" x14ac:dyDescent="0.3">
      <c r="A296" s="4">
        <v>312</v>
      </c>
      <c r="B296" s="4" t="s">
        <v>1193</v>
      </c>
      <c r="C296" s="4" t="s">
        <v>1194</v>
      </c>
      <c r="D296" s="4" t="s">
        <v>20</v>
      </c>
      <c r="E296" s="7">
        <v>7300</v>
      </c>
    </row>
    <row r="297" spans="1:5" x14ac:dyDescent="0.3">
      <c r="A297" s="4">
        <v>312</v>
      </c>
      <c r="B297" s="4" t="s">
        <v>1199</v>
      </c>
      <c r="C297" s="4" t="s">
        <v>966</v>
      </c>
      <c r="D297" s="4" t="s">
        <v>167</v>
      </c>
      <c r="E297" s="7">
        <v>7300</v>
      </c>
    </row>
    <row r="298" spans="1:5" x14ac:dyDescent="0.3">
      <c r="A298" s="4">
        <v>312</v>
      </c>
      <c r="B298" s="4" t="s">
        <v>1203</v>
      </c>
      <c r="C298" s="4" t="s">
        <v>104</v>
      </c>
      <c r="D298" s="4" t="s">
        <v>37</v>
      </c>
      <c r="E298" s="7">
        <v>7300</v>
      </c>
    </row>
    <row r="299" spans="1:5" x14ac:dyDescent="0.3">
      <c r="A299" s="4">
        <v>317</v>
      </c>
      <c r="B299" s="4" t="s">
        <v>1206</v>
      </c>
      <c r="C299" s="4" t="s">
        <v>31</v>
      </c>
      <c r="D299" s="4" t="s">
        <v>48</v>
      </c>
      <c r="E299" s="7">
        <v>7200</v>
      </c>
    </row>
    <row r="300" spans="1:5" x14ac:dyDescent="0.3">
      <c r="A300" s="4">
        <v>317</v>
      </c>
      <c r="B300" s="4" t="s">
        <v>1209</v>
      </c>
      <c r="C300" s="4" t="s">
        <v>31</v>
      </c>
      <c r="D300" s="4" t="s">
        <v>461</v>
      </c>
      <c r="E300" s="7">
        <v>7200</v>
      </c>
    </row>
    <row r="301" spans="1:5" x14ac:dyDescent="0.3">
      <c r="A301" s="4">
        <v>317</v>
      </c>
      <c r="B301" s="4" t="s">
        <v>1212</v>
      </c>
      <c r="C301" s="4" t="s">
        <v>31</v>
      </c>
      <c r="D301" s="4" t="s">
        <v>48</v>
      </c>
      <c r="E301" s="7">
        <v>7200</v>
      </c>
    </row>
    <row r="302" spans="1:5" x14ac:dyDescent="0.3">
      <c r="A302" s="4">
        <v>317</v>
      </c>
      <c r="B302" s="4" t="s">
        <v>1217</v>
      </c>
      <c r="C302" s="4" t="s">
        <v>31</v>
      </c>
      <c r="D302" s="4" t="s">
        <v>291</v>
      </c>
      <c r="E302" s="7">
        <v>7200</v>
      </c>
    </row>
    <row r="303" spans="1:5" x14ac:dyDescent="0.3">
      <c r="A303" s="4">
        <v>317</v>
      </c>
      <c r="B303" s="4" t="s">
        <v>1220</v>
      </c>
      <c r="C303" s="4" t="s">
        <v>305</v>
      </c>
      <c r="D303" s="4" t="s">
        <v>48</v>
      </c>
      <c r="E303" s="7">
        <v>7200</v>
      </c>
    </row>
    <row r="304" spans="1:5" x14ac:dyDescent="0.3">
      <c r="A304" s="4">
        <v>317</v>
      </c>
      <c r="B304" s="4" t="s">
        <v>1224</v>
      </c>
      <c r="C304" s="4" t="s">
        <v>218</v>
      </c>
      <c r="D304" s="4" t="s">
        <v>20</v>
      </c>
      <c r="E304" s="7">
        <v>7200</v>
      </c>
    </row>
    <row r="305" spans="1:5" x14ac:dyDescent="0.3">
      <c r="A305" s="4">
        <v>317</v>
      </c>
      <c r="B305" s="4" t="s">
        <v>1228</v>
      </c>
      <c r="C305" s="4" t="s">
        <v>104</v>
      </c>
      <c r="D305" s="4" t="s">
        <v>102</v>
      </c>
      <c r="E305" s="7">
        <v>7200</v>
      </c>
    </row>
    <row r="306" spans="1:5" x14ac:dyDescent="0.3">
      <c r="A306" s="4">
        <v>325</v>
      </c>
      <c r="B306" s="4" t="s">
        <v>1232</v>
      </c>
      <c r="C306" s="4" t="s">
        <v>31</v>
      </c>
      <c r="D306" s="4" t="s">
        <v>37</v>
      </c>
      <c r="E306" s="7">
        <v>7100</v>
      </c>
    </row>
    <row r="307" spans="1:5" x14ac:dyDescent="0.3">
      <c r="A307" s="4">
        <v>325</v>
      </c>
      <c r="B307" s="4" t="s">
        <v>1236</v>
      </c>
      <c r="C307" s="4" t="s">
        <v>207</v>
      </c>
      <c r="D307" s="4" t="s">
        <v>195</v>
      </c>
      <c r="E307" s="7">
        <v>7100</v>
      </c>
    </row>
    <row r="308" spans="1:5" x14ac:dyDescent="0.3">
      <c r="A308" s="4">
        <v>325</v>
      </c>
      <c r="B308" s="4" t="s">
        <v>1239</v>
      </c>
      <c r="C308" s="4" t="s">
        <v>31</v>
      </c>
      <c r="D308" s="4" t="s">
        <v>380</v>
      </c>
      <c r="E308" s="7">
        <v>7100</v>
      </c>
    </row>
    <row r="309" spans="1:5" x14ac:dyDescent="0.3">
      <c r="A309" s="4">
        <v>325</v>
      </c>
      <c r="B309" s="4" t="s">
        <v>1244</v>
      </c>
      <c r="C309" s="4" t="s">
        <v>104</v>
      </c>
      <c r="D309" s="4" t="s">
        <v>249</v>
      </c>
      <c r="E309" s="7">
        <v>7100</v>
      </c>
    </row>
    <row r="310" spans="1:5" x14ac:dyDescent="0.3">
      <c r="A310" s="4">
        <v>325</v>
      </c>
      <c r="B310" s="4" t="s">
        <v>1248</v>
      </c>
      <c r="C310" s="4" t="s">
        <v>169</v>
      </c>
      <c r="D310" s="4" t="s">
        <v>350</v>
      </c>
      <c r="E310" s="7">
        <v>7100</v>
      </c>
    </row>
    <row r="311" spans="1:5" x14ac:dyDescent="0.3">
      <c r="A311" s="4">
        <v>325</v>
      </c>
      <c r="B311" s="4" t="s">
        <v>1253</v>
      </c>
      <c r="C311" s="4" t="s">
        <v>554</v>
      </c>
      <c r="D311" s="4" t="s">
        <v>48</v>
      </c>
      <c r="E311" s="7">
        <v>7100</v>
      </c>
    </row>
    <row r="312" spans="1:5" x14ac:dyDescent="0.3">
      <c r="A312" s="4">
        <v>325</v>
      </c>
      <c r="B312" s="4" t="s">
        <v>1256</v>
      </c>
      <c r="C312" s="4" t="s">
        <v>104</v>
      </c>
      <c r="D312" s="4" t="s">
        <v>249</v>
      </c>
      <c r="E312" s="7">
        <v>7100</v>
      </c>
    </row>
    <row r="313" spans="1:5" x14ac:dyDescent="0.3">
      <c r="A313" s="4">
        <v>332</v>
      </c>
      <c r="B313" s="4" t="s">
        <v>1259</v>
      </c>
      <c r="C313" s="4" t="s">
        <v>31</v>
      </c>
      <c r="D313" s="4" t="s">
        <v>37</v>
      </c>
      <c r="E313" s="7">
        <v>7000</v>
      </c>
    </row>
    <row r="314" spans="1:5" x14ac:dyDescent="0.3">
      <c r="A314" s="4">
        <v>332</v>
      </c>
      <c r="B314" s="4" t="s">
        <v>1262</v>
      </c>
      <c r="C314" s="4" t="s">
        <v>225</v>
      </c>
      <c r="D314" s="4" t="s">
        <v>58</v>
      </c>
      <c r="E314" s="7">
        <v>7000</v>
      </c>
    </row>
    <row r="315" spans="1:5" x14ac:dyDescent="0.3">
      <c r="A315" s="4">
        <v>332</v>
      </c>
      <c r="B315" s="4" t="s">
        <v>1265</v>
      </c>
      <c r="C315" s="4" t="s">
        <v>225</v>
      </c>
      <c r="D315" s="4" t="s">
        <v>58</v>
      </c>
      <c r="E315" s="7">
        <v>7000</v>
      </c>
    </row>
    <row r="316" spans="1:5" x14ac:dyDescent="0.3">
      <c r="A316" s="4">
        <v>332</v>
      </c>
      <c r="B316" s="4" t="s">
        <v>1267</v>
      </c>
      <c r="C316" s="4" t="s">
        <v>31</v>
      </c>
      <c r="D316" s="4" t="s">
        <v>37</v>
      </c>
      <c r="E316" s="7">
        <v>7000</v>
      </c>
    </row>
    <row r="317" spans="1:5" x14ac:dyDescent="0.3">
      <c r="A317" s="4">
        <v>332</v>
      </c>
      <c r="B317" s="4" t="s">
        <v>1271</v>
      </c>
      <c r="C317" s="4" t="s">
        <v>73</v>
      </c>
      <c r="D317" s="4" t="s">
        <v>249</v>
      </c>
      <c r="E317" s="7">
        <v>7000</v>
      </c>
    </row>
    <row r="318" spans="1:5" x14ac:dyDescent="0.3">
      <c r="A318" s="4">
        <v>332</v>
      </c>
      <c r="B318" s="4" t="s">
        <v>1274</v>
      </c>
      <c r="C318" s="4" t="s">
        <v>31</v>
      </c>
      <c r="D318" s="4" t="s">
        <v>20</v>
      </c>
      <c r="E318" s="7">
        <v>7000</v>
      </c>
    </row>
    <row r="319" spans="1:5" x14ac:dyDescent="0.3">
      <c r="A319" s="4">
        <v>332</v>
      </c>
      <c r="B319" s="4" t="s">
        <v>1278</v>
      </c>
      <c r="C319" s="4" t="s">
        <v>73</v>
      </c>
      <c r="D319" s="4" t="s">
        <v>71</v>
      </c>
      <c r="E319" s="7">
        <v>7000</v>
      </c>
    </row>
    <row r="320" spans="1:5" x14ac:dyDescent="0.3">
      <c r="A320" s="4">
        <v>332</v>
      </c>
      <c r="B320" s="4" t="s">
        <v>1281</v>
      </c>
      <c r="C320" s="4" t="s">
        <v>73</v>
      </c>
      <c r="D320" s="4" t="s">
        <v>71</v>
      </c>
      <c r="E320" s="7">
        <v>7000</v>
      </c>
    </row>
    <row r="321" spans="1:5" x14ac:dyDescent="0.3">
      <c r="A321" s="4">
        <v>332</v>
      </c>
      <c r="B321" s="4" t="s">
        <v>1283</v>
      </c>
      <c r="C321" s="4" t="s">
        <v>31</v>
      </c>
      <c r="D321" s="4" t="s">
        <v>102</v>
      </c>
      <c r="E321" s="7">
        <v>7000</v>
      </c>
    </row>
    <row r="322" spans="1:5" x14ac:dyDescent="0.3">
      <c r="A322" s="4">
        <v>332</v>
      </c>
      <c r="B322" s="4" t="s">
        <v>1288</v>
      </c>
      <c r="C322" s="4" t="s">
        <v>31</v>
      </c>
      <c r="D322" s="4" t="s">
        <v>102</v>
      </c>
      <c r="E322" s="7">
        <v>7000</v>
      </c>
    </row>
    <row r="323" spans="1:5" x14ac:dyDescent="0.3">
      <c r="A323" s="4">
        <v>332</v>
      </c>
      <c r="B323" s="4" t="s">
        <v>1290</v>
      </c>
      <c r="C323" s="4" t="s">
        <v>31</v>
      </c>
      <c r="D323" s="4" t="s">
        <v>102</v>
      </c>
      <c r="E323" s="7">
        <v>7000</v>
      </c>
    </row>
    <row r="324" spans="1:5" x14ac:dyDescent="0.3">
      <c r="A324" s="4">
        <v>344</v>
      </c>
      <c r="B324" s="4" t="s">
        <v>1293</v>
      </c>
      <c r="C324" s="4" t="s">
        <v>31</v>
      </c>
      <c r="D324" s="4" t="s">
        <v>71</v>
      </c>
      <c r="E324" s="7">
        <v>6900</v>
      </c>
    </row>
    <row r="325" spans="1:5" x14ac:dyDescent="0.3">
      <c r="A325" s="4">
        <v>344</v>
      </c>
      <c r="B325" s="4" t="s">
        <v>1297</v>
      </c>
      <c r="C325" s="4" t="s">
        <v>31</v>
      </c>
      <c r="D325" s="4" t="s">
        <v>102</v>
      </c>
      <c r="E325" s="7">
        <v>6900</v>
      </c>
    </row>
    <row r="326" spans="1:5" x14ac:dyDescent="0.3">
      <c r="A326" s="4">
        <v>344</v>
      </c>
      <c r="B326" s="4" t="s">
        <v>1302</v>
      </c>
      <c r="C326" s="4" t="s">
        <v>31</v>
      </c>
      <c r="D326" s="4" t="s">
        <v>48</v>
      </c>
      <c r="E326" s="7">
        <v>6900</v>
      </c>
    </row>
    <row r="327" spans="1:5" x14ac:dyDescent="0.3">
      <c r="A327" s="4">
        <v>344</v>
      </c>
      <c r="B327" s="4" t="s">
        <v>1306</v>
      </c>
      <c r="C327" s="4" t="s">
        <v>104</v>
      </c>
      <c r="D327" s="4" t="s">
        <v>37</v>
      </c>
      <c r="E327" s="7">
        <v>6900</v>
      </c>
    </row>
    <row r="328" spans="1:5" x14ac:dyDescent="0.3">
      <c r="A328" s="4">
        <v>344</v>
      </c>
      <c r="B328" s="4" t="s">
        <v>1310</v>
      </c>
      <c r="C328" s="4" t="s">
        <v>31</v>
      </c>
      <c r="D328" s="4" t="s">
        <v>461</v>
      </c>
      <c r="E328" s="7">
        <v>6900</v>
      </c>
    </row>
    <row r="329" spans="1:5" x14ac:dyDescent="0.3">
      <c r="A329" s="4">
        <v>344</v>
      </c>
      <c r="B329" s="4" t="s">
        <v>1313</v>
      </c>
      <c r="C329" s="4" t="s">
        <v>92</v>
      </c>
      <c r="D329" s="4" t="s">
        <v>20</v>
      </c>
      <c r="E329" s="7">
        <v>6900</v>
      </c>
    </row>
    <row r="330" spans="1:5" x14ac:dyDescent="0.3">
      <c r="A330" s="4">
        <v>344</v>
      </c>
      <c r="B330" s="4" t="s">
        <v>1316</v>
      </c>
      <c r="C330" s="4" t="s">
        <v>31</v>
      </c>
      <c r="D330" s="4" t="s">
        <v>350</v>
      </c>
      <c r="E330" s="7">
        <v>6900</v>
      </c>
    </row>
    <row r="331" spans="1:5" x14ac:dyDescent="0.3">
      <c r="A331" s="4">
        <v>352</v>
      </c>
      <c r="B331" s="4" t="s">
        <v>1321</v>
      </c>
      <c r="C331" s="4" t="s">
        <v>31</v>
      </c>
      <c r="D331" s="4" t="s">
        <v>291</v>
      </c>
      <c r="E331" s="7">
        <v>6800</v>
      </c>
    </row>
    <row r="332" spans="1:5" x14ac:dyDescent="0.3">
      <c r="A332" s="4">
        <v>352</v>
      </c>
      <c r="B332" s="4" t="s">
        <v>1324</v>
      </c>
      <c r="C332" s="4" t="s">
        <v>679</v>
      </c>
      <c r="D332" s="4" t="s">
        <v>71</v>
      </c>
      <c r="E332" s="7">
        <v>6800</v>
      </c>
    </row>
    <row r="333" spans="1:5" x14ac:dyDescent="0.3">
      <c r="A333" s="4">
        <v>352</v>
      </c>
      <c r="B333" s="4" t="s">
        <v>1327</v>
      </c>
      <c r="C333" s="4" t="s">
        <v>225</v>
      </c>
      <c r="D333" s="4" t="s">
        <v>195</v>
      </c>
      <c r="E333" s="7">
        <v>6800</v>
      </c>
    </row>
    <row r="334" spans="1:5" x14ac:dyDescent="0.3">
      <c r="A334" s="4">
        <v>352</v>
      </c>
      <c r="B334" s="4" t="s">
        <v>1332</v>
      </c>
      <c r="C334" s="4" t="s">
        <v>31</v>
      </c>
      <c r="D334" s="4" t="s">
        <v>291</v>
      </c>
      <c r="E334" s="7">
        <v>6800</v>
      </c>
    </row>
    <row r="335" spans="1:5" x14ac:dyDescent="0.3">
      <c r="A335" s="4">
        <v>352</v>
      </c>
      <c r="B335" s="4" t="s">
        <v>1334</v>
      </c>
      <c r="C335" s="4" t="s">
        <v>31</v>
      </c>
      <c r="D335" s="4" t="s">
        <v>291</v>
      </c>
      <c r="E335" s="7">
        <v>6800</v>
      </c>
    </row>
    <row r="336" spans="1:5" x14ac:dyDescent="0.3">
      <c r="A336" s="4">
        <v>352</v>
      </c>
      <c r="B336" s="4" t="s">
        <v>1337</v>
      </c>
      <c r="C336" s="4" t="s">
        <v>31</v>
      </c>
      <c r="D336" s="4" t="s">
        <v>48</v>
      </c>
      <c r="E336" s="7">
        <v>6800</v>
      </c>
    </row>
    <row r="337" spans="1:5" x14ac:dyDescent="0.3">
      <c r="A337" s="4">
        <v>352</v>
      </c>
      <c r="B337" s="4" t="s">
        <v>1340</v>
      </c>
      <c r="C337" s="4" t="s">
        <v>31</v>
      </c>
      <c r="D337" s="4" t="s">
        <v>48</v>
      </c>
      <c r="E337" s="7">
        <v>6800</v>
      </c>
    </row>
    <row r="338" spans="1:5" x14ac:dyDescent="0.3">
      <c r="A338" s="4">
        <v>352</v>
      </c>
      <c r="B338" s="4" t="s">
        <v>1344</v>
      </c>
      <c r="C338" s="4" t="s">
        <v>31</v>
      </c>
      <c r="D338" s="4" t="s">
        <v>37</v>
      </c>
      <c r="E338" s="7">
        <v>6800</v>
      </c>
    </row>
    <row r="339" spans="1:5" x14ac:dyDescent="0.3">
      <c r="A339" s="4">
        <v>352</v>
      </c>
      <c r="B339" s="4" t="s">
        <v>1348</v>
      </c>
      <c r="C339" s="4" t="s">
        <v>31</v>
      </c>
      <c r="D339" s="4" t="s">
        <v>48</v>
      </c>
      <c r="E339" s="7">
        <v>6800</v>
      </c>
    </row>
    <row r="340" spans="1:5" x14ac:dyDescent="0.3">
      <c r="A340" s="4">
        <v>352</v>
      </c>
      <c r="B340" s="4" t="s">
        <v>1351</v>
      </c>
      <c r="C340" s="4" t="s">
        <v>31</v>
      </c>
      <c r="D340" s="4" t="s">
        <v>48</v>
      </c>
      <c r="E340" s="7">
        <v>6800</v>
      </c>
    </row>
    <row r="341" spans="1:5" x14ac:dyDescent="0.3">
      <c r="A341" s="4">
        <v>352</v>
      </c>
      <c r="B341" s="4" t="s">
        <v>1354</v>
      </c>
      <c r="C341" s="4" t="s">
        <v>326</v>
      </c>
      <c r="D341" s="4" t="s">
        <v>71</v>
      </c>
      <c r="E341" s="7">
        <v>6800</v>
      </c>
    </row>
    <row r="342" spans="1:5" x14ac:dyDescent="0.3">
      <c r="A342" s="4">
        <v>352</v>
      </c>
      <c r="B342" s="4" t="s">
        <v>1357</v>
      </c>
      <c r="C342" s="4" t="s">
        <v>104</v>
      </c>
      <c r="D342" s="4" t="s">
        <v>37</v>
      </c>
      <c r="E342" s="7">
        <v>6800</v>
      </c>
    </row>
    <row r="343" spans="1:5" x14ac:dyDescent="0.3">
      <c r="A343" s="4">
        <v>352</v>
      </c>
      <c r="B343" s="4" t="s">
        <v>1359</v>
      </c>
      <c r="C343" s="4" t="s">
        <v>31</v>
      </c>
      <c r="D343" s="4" t="s">
        <v>291</v>
      </c>
      <c r="E343" s="7">
        <v>6800</v>
      </c>
    </row>
    <row r="344" spans="1:5" x14ac:dyDescent="0.3">
      <c r="A344" s="4">
        <v>365</v>
      </c>
      <c r="B344" s="4" t="s">
        <v>1362</v>
      </c>
      <c r="C344" s="4" t="s">
        <v>31</v>
      </c>
      <c r="D344" s="4" t="s">
        <v>48</v>
      </c>
      <c r="E344" s="7">
        <v>6700</v>
      </c>
    </row>
    <row r="345" spans="1:5" x14ac:dyDescent="0.3">
      <c r="A345" s="4">
        <v>365</v>
      </c>
      <c r="B345" s="4" t="s">
        <v>1365</v>
      </c>
      <c r="C345" s="4" t="s">
        <v>225</v>
      </c>
      <c r="D345" s="4" t="s">
        <v>48</v>
      </c>
      <c r="E345" s="7">
        <v>6700</v>
      </c>
    </row>
    <row r="346" spans="1:5" x14ac:dyDescent="0.3">
      <c r="A346" s="4">
        <v>365</v>
      </c>
      <c r="B346" s="4" t="s">
        <v>1368</v>
      </c>
      <c r="C346" s="4" t="s">
        <v>1194</v>
      </c>
      <c r="D346" s="4" t="s">
        <v>249</v>
      </c>
      <c r="E346" s="7">
        <v>6700</v>
      </c>
    </row>
    <row r="347" spans="1:5" x14ac:dyDescent="0.3">
      <c r="A347" s="4">
        <v>365</v>
      </c>
      <c r="B347" s="4" t="s">
        <v>1373</v>
      </c>
      <c r="C347" s="4" t="s">
        <v>1194</v>
      </c>
      <c r="D347" s="4" t="s">
        <v>249</v>
      </c>
      <c r="E347" s="7">
        <v>6700</v>
      </c>
    </row>
    <row r="348" spans="1:5" x14ac:dyDescent="0.3">
      <c r="A348" s="4">
        <v>365</v>
      </c>
      <c r="B348" s="4" t="s">
        <v>1375</v>
      </c>
      <c r="C348" s="4" t="s">
        <v>1194</v>
      </c>
      <c r="D348" s="4" t="s">
        <v>249</v>
      </c>
      <c r="E348" s="7">
        <v>6700</v>
      </c>
    </row>
    <row r="349" spans="1:5" x14ac:dyDescent="0.3">
      <c r="A349" s="4">
        <v>365</v>
      </c>
      <c r="B349" s="4" t="s">
        <v>1377</v>
      </c>
      <c r="C349" s="4" t="s">
        <v>679</v>
      </c>
      <c r="D349" s="4" t="s">
        <v>350</v>
      </c>
      <c r="E349" s="7">
        <v>6700</v>
      </c>
    </row>
    <row r="350" spans="1:5" x14ac:dyDescent="0.3">
      <c r="A350" s="4">
        <v>365</v>
      </c>
      <c r="B350" s="4" t="s">
        <v>1381</v>
      </c>
      <c r="C350" s="4" t="s">
        <v>104</v>
      </c>
      <c r="D350" s="4" t="s">
        <v>29</v>
      </c>
      <c r="E350" s="7">
        <v>6700</v>
      </c>
    </row>
    <row r="351" spans="1:5" x14ac:dyDescent="0.3">
      <c r="A351" s="4">
        <v>365</v>
      </c>
      <c r="B351" s="4" t="s">
        <v>1383</v>
      </c>
      <c r="C351" s="4" t="s">
        <v>104</v>
      </c>
      <c r="D351" s="4" t="s">
        <v>249</v>
      </c>
      <c r="E351" s="7">
        <v>6700</v>
      </c>
    </row>
    <row r="352" spans="1:5" x14ac:dyDescent="0.3">
      <c r="A352" s="4">
        <v>365</v>
      </c>
      <c r="B352" s="4" t="s">
        <v>1386</v>
      </c>
      <c r="C352" s="4" t="s">
        <v>169</v>
      </c>
      <c r="D352" s="4" t="s">
        <v>249</v>
      </c>
      <c r="E352" s="7">
        <v>6700</v>
      </c>
    </row>
    <row r="353" spans="1:5" x14ac:dyDescent="0.3">
      <c r="A353" s="4">
        <v>365</v>
      </c>
      <c r="B353" s="4" t="s">
        <v>1390</v>
      </c>
      <c r="C353" s="4" t="s">
        <v>22</v>
      </c>
      <c r="D353" s="4" t="s">
        <v>64</v>
      </c>
      <c r="E353" s="7">
        <v>6700</v>
      </c>
    </row>
    <row r="354" spans="1:5" x14ac:dyDescent="0.3">
      <c r="A354" s="4">
        <v>365</v>
      </c>
      <c r="B354" s="4" t="s">
        <v>1393</v>
      </c>
      <c r="C354" s="4" t="s">
        <v>31</v>
      </c>
      <c r="D354" s="4" t="s">
        <v>291</v>
      </c>
      <c r="E354" s="7">
        <v>6700</v>
      </c>
    </row>
    <row r="355" spans="1:5" x14ac:dyDescent="0.3">
      <c r="A355" s="4">
        <v>365</v>
      </c>
      <c r="B355" s="4" t="s">
        <v>1398</v>
      </c>
      <c r="C355" s="4" t="s">
        <v>31</v>
      </c>
      <c r="D355" s="4" t="s">
        <v>461</v>
      </c>
      <c r="E355" s="7">
        <v>6700</v>
      </c>
    </row>
    <row r="356" spans="1:5" x14ac:dyDescent="0.3">
      <c r="A356" s="4">
        <v>365</v>
      </c>
      <c r="B356" s="4" t="s">
        <v>1400</v>
      </c>
      <c r="C356" s="4" t="s">
        <v>31</v>
      </c>
      <c r="D356" s="4" t="s">
        <v>461</v>
      </c>
      <c r="E356" s="7">
        <v>6700</v>
      </c>
    </row>
    <row r="357" spans="1:5" x14ac:dyDescent="0.3">
      <c r="A357" s="4">
        <v>365</v>
      </c>
      <c r="B357" s="4" t="s">
        <v>1403</v>
      </c>
      <c r="C357" s="4" t="s">
        <v>31</v>
      </c>
      <c r="D357" s="4" t="s">
        <v>48</v>
      </c>
      <c r="E357" s="7">
        <v>6700</v>
      </c>
    </row>
    <row r="358" spans="1:5" x14ac:dyDescent="0.3">
      <c r="A358" s="4">
        <v>365</v>
      </c>
      <c r="B358" s="4" t="s">
        <v>1406</v>
      </c>
      <c r="C358" s="4" t="s">
        <v>31</v>
      </c>
      <c r="D358" s="4" t="s">
        <v>37</v>
      </c>
      <c r="E358" s="7">
        <v>6700</v>
      </c>
    </row>
    <row r="359" spans="1:5" x14ac:dyDescent="0.3">
      <c r="A359" s="4">
        <v>365</v>
      </c>
      <c r="B359" s="4" t="s">
        <v>1409</v>
      </c>
      <c r="C359" s="4" t="s">
        <v>1194</v>
      </c>
      <c r="D359" s="4" t="s">
        <v>249</v>
      </c>
      <c r="E359" s="7">
        <v>6700</v>
      </c>
    </row>
    <row r="360" spans="1:5" x14ac:dyDescent="0.3">
      <c r="A360" s="4">
        <v>365</v>
      </c>
      <c r="B360" s="4" t="s">
        <v>1412</v>
      </c>
      <c r="C360" s="4" t="s">
        <v>31</v>
      </c>
      <c r="D360" s="4" t="s">
        <v>37</v>
      </c>
      <c r="E360" s="7">
        <v>6700</v>
      </c>
    </row>
    <row r="361" spans="1:5" x14ac:dyDescent="0.3">
      <c r="A361" s="4">
        <v>365</v>
      </c>
      <c r="B361" s="4" t="s">
        <v>1415</v>
      </c>
      <c r="C361" s="4" t="s">
        <v>104</v>
      </c>
      <c r="D361" s="4" t="s">
        <v>102</v>
      </c>
      <c r="E361" s="7">
        <v>6700</v>
      </c>
    </row>
    <row r="362" spans="1:5" x14ac:dyDescent="0.3">
      <c r="A362" s="4">
        <v>383</v>
      </c>
      <c r="B362" s="4" t="s">
        <v>1418</v>
      </c>
      <c r="C362" s="4" t="s">
        <v>169</v>
      </c>
      <c r="D362" s="4" t="s">
        <v>249</v>
      </c>
      <c r="E362" s="7">
        <v>6600</v>
      </c>
    </row>
    <row r="363" spans="1:5" x14ac:dyDescent="0.3">
      <c r="A363" s="4">
        <v>383</v>
      </c>
      <c r="B363" s="4" t="s">
        <v>1422</v>
      </c>
      <c r="C363" s="4" t="s">
        <v>31</v>
      </c>
      <c r="D363" s="4" t="s">
        <v>102</v>
      </c>
      <c r="E363" s="7">
        <v>6600</v>
      </c>
    </row>
    <row r="364" spans="1:5" x14ac:dyDescent="0.3">
      <c r="A364" s="4">
        <v>383</v>
      </c>
      <c r="B364" s="4" t="s">
        <v>1426</v>
      </c>
      <c r="C364" s="4" t="s">
        <v>31</v>
      </c>
      <c r="D364" s="4" t="s">
        <v>102</v>
      </c>
      <c r="E364" s="7">
        <v>6600</v>
      </c>
    </row>
    <row r="365" spans="1:5" x14ac:dyDescent="0.3">
      <c r="A365" s="4">
        <v>383</v>
      </c>
      <c r="B365" s="4" t="s">
        <v>1428</v>
      </c>
      <c r="C365" s="4" t="s">
        <v>31</v>
      </c>
      <c r="D365" s="4" t="s">
        <v>102</v>
      </c>
      <c r="E365" s="7">
        <v>6600</v>
      </c>
    </row>
    <row r="366" spans="1:5" x14ac:dyDescent="0.3">
      <c r="A366" s="4">
        <v>383</v>
      </c>
      <c r="B366" s="4" t="s">
        <v>1432</v>
      </c>
      <c r="C366" s="4" t="s">
        <v>31</v>
      </c>
      <c r="D366" s="4" t="s">
        <v>48</v>
      </c>
      <c r="E366" s="7">
        <v>6600</v>
      </c>
    </row>
    <row r="367" spans="1:5" x14ac:dyDescent="0.3">
      <c r="A367" s="4">
        <v>383</v>
      </c>
      <c r="B367" s="4" t="s">
        <v>1435</v>
      </c>
      <c r="C367" s="4" t="s">
        <v>31</v>
      </c>
      <c r="D367" s="4" t="s">
        <v>37</v>
      </c>
      <c r="E367" s="7">
        <v>6600</v>
      </c>
    </row>
    <row r="368" spans="1:5" x14ac:dyDescent="0.3">
      <c r="A368" s="4">
        <v>383</v>
      </c>
      <c r="B368" s="4" t="s">
        <v>1438</v>
      </c>
      <c r="C368" s="4" t="s">
        <v>157</v>
      </c>
      <c r="D368" s="4" t="s">
        <v>48</v>
      </c>
      <c r="E368" s="7">
        <v>6600</v>
      </c>
    </row>
    <row r="369" spans="1:5" x14ac:dyDescent="0.3">
      <c r="A369" s="4">
        <v>390</v>
      </c>
      <c r="B369" s="4" t="s">
        <v>1442</v>
      </c>
      <c r="C369" s="4" t="s">
        <v>31</v>
      </c>
      <c r="D369" s="4" t="s">
        <v>48</v>
      </c>
      <c r="E369" s="7">
        <v>6500</v>
      </c>
    </row>
    <row r="370" spans="1:5" x14ac:dyDescent="0.3">
      <c r="A370" s="4">
        <v>390</v>
      </c>
      <c r="B370" s="4" t="s">
        <v>1444</v>
      </c>
      <c r="C370" s="4" t="s">
        <v>31</v>
      </c>
      <c r="D370" s="4" t="s">
        <v>37</v>
      </c>
      <c r="E370" s="7">
        <v>6500</v>
      </c>
    </row>
    <row r="371" spans="1:5" x14ac:dyDescent="0.3">
      <c r="A371" s="4">
        <v>390</v>
      </c>
      <c r="B371" s="4" t="s">
        <v>1447</v>
      </c>
      <c r="C371" s="4" t="s">
        <v>31</v>
      </c>
      <c r="D371" s="4" t="s">
        <v>461</v>
      </c>
      <c r="E371" s="7">
        <v>6500</v>
      </c>
    </row>
    <row r="372" spans="1:5" x14ac:dyDescent="0.3">
      <c r="A372" s="4">
        <v>390</v>
      </c>
      <c r="B372" s="4" t="s">
        <v>1451</v>
      </c>
      <c r="C372" s="4" t="s">
        <v>225</v>
      </c>
      <c r="D372" s="4" t="s">
        <v>461</v>
      </c>
      <c r="E372" s="7">
        <v>6500</v>
      </c>
    </row>
    <row r="373" spans="1:5" x14ac:dyDescent="0.3">
      <c r="A373" s="4">
        <v>390</v>
      </c>
      <c r="B373" s="4" t="s">
        <v>1454</v>
      </c>
      <c r="C373" s="4" t="s">
        <v>169</v>
      </c>
      <c r="D373" s="4" t="s">
        <v>461</v>
      </c>
      <c r="E373" s="7">
        <v>6500</v>
      </c>
    </row>
    <row r="374" spans="1:5" x14ac:dyDescent="0.3">
      <c r="A374" s="4">
        <v>397</v>
      </c>
      <c r="B374" s="4" t="s">
        <v>1458</v>
      </c>
      <c r="C374" s="4" t="s">
        <v>496</v>
      </c>
      <c r="D374" s="4" t="s">
        <v>48</v>
      </c>
      <c r="E374" s="7">
        <v>6400</v>
      </c>
    </row>
    <row r="375" spans="1:5" x14ac:dyDescent="0.3">
      <c r="A375" s="4">
        <v>397</v>
      </c>
      <c r="B375" s="4" t="s">
        <v>1461</v>
      </c>
      <c r="C375" s="4" t="s">
        <v>31</v>
      </c>
      <c r="D375" s="4" t="s">
        <v>589</v>
      </c>
      <c r="E375" s="7">
        <v>6400</v>
      </c>
    </row>
    <row r="376" spans="1:5" x14ac:dyDescent="0.3">
      <c r="A376" s="4">
        <v>397</v>
      </c>
      <c r="B376" s="4" t="s">
        <v>1464</v>
      </c>
      <c r="C376" s="4" t="s">
        <v>31</v>
      </c>
      <c r="D376" s="4" t="s">
        <v>48</v>
      </c>
      <c r="E376" s="7">
        <v>6400</v>
      </c>
    </row>
    <row r="377" spans="1:5" x14ac:dyDescent="0.3">
      <c r="A377" s="4">
        <v>397</v>
      </c>
      <c r="B377" s="4" t="s">
        <v>1466</v>
      </c>
      <c r="C377" s="4" t="s">
        <v>104</v>
      </c>
      <c r="D377" s="4" t="s">
        <v>350</v>
      </c>
      <c r="E377" s="7">
        <v>6400</v>
      </c>
    </row>
    <row r="378" spans="1:5" x14ac:dyDescent="0.3">
      <c r="A378" s="4">
        <v>397</v>
      </c>
      <c r="B378" s="4" t="s">
        <v>1469</v>
      </c>
      <c r="C378" s="4" t="s">
        <v>22</v>
      </c>
      <c r="D378" s="4" t="s">
        <v>291</v>
      </c>
      <c r="E378" s="7">
        <v>6400</v>
      </c>
    </row>
    <row r="379" spans="1:5" x14ac:dyDescent="0.3">
      <c r="A379" s="4">
        <v>397</v>
      </c>
      <c r="B379" s="4" t="s">
        <v>1472</v>
      </c>
      <c r="C379" s="4" t="s">
        <v>1473</v>
      </c>
      <c r="D379" s="4" t="s">
        <v>48</v>
      </c>
      <c r="E379" s="7">
        <v>6400</v>
      </c>
    </row>
    <row r="380" spans="1:5" x14ac:dyDescent="0.3">
      <c r="A380" s="4">
        <v>397</v>
      </c>
      <c r="B380" s="4" t="s">
        <v>1478</v>
      </c>
      <c r="C380" s="4" t="s">
        <v>31</v>
      </c>
      <c r="D380" s="4" t="s">
        <v>167</v>
      </c>
      <c r="E380" s="7">
        <v>6400</v>
      </c>
    </row>
    <row r="381" spans="1:5" x14ac:dyDescent="0.3">
      <c r="A381" s="4">
        <v>405</v>
      </c>
      <c r="B381" s="4" t="s">
        <v>1483</v>
      </c>
      <c r="C381" s="4" t="s">
        <v>225</v>
      </c>
      <c r="D381" s="4" t="s">
        <v>579</v>
      </c>
      <c r="E381" s="7">
        <v>6300</v>
      </c>
    </row>
    <row r="382" spans="1:5" x14ac:dyDescent="0.3">
      <c r="A382" s="4">
        <v>405</v>
      </c>
      <c r="B382" s="4" t="s">
        <v>1485</v>
      </c>
      <c r="C382" s="4" t="s">
        <v>104</v>
      </c>
      <c r="D382" s="4" t="s">
        <v>291</v>
      </c>
      <c r="E382" s="7">
        <v>6300</v>
      </c>
    </row>
    <row r="383" spans="1:5" x14ac:dyDescent="0.3">
      <c r="A383" s="4">
        <v>405</v>
      </c>
      <c r="B383" s="4" t="s">
        <v>1489</v>
      </c>
      <c r="C383" s="4" t="s">
        <v>225</v>
      </c>
      <c r="D383" s="4" t="s">
        <v>48</v>
      </c>
      <c r="E383" s="7">
        <v>6300</v>
      </c>
    </row>
    <row r="384" spans="1:5" x14ac:dyDescent="0.3">
      <c r="A384" s="4">
        <v>405</v>
      </c>
      <c r="B384" s="4" t="s">
        <v>1491</v>
      </c>
      <c r="C384" s="4" t="s">
        <v>22</v>
      </c>
      <c r="D384" s="4" t="s">
        <v>350</v>
      </c>
      <c r="E384" s="7">
        <v>6300</v>
      </c>
    </row>
    <row r="385" spans="1:5" x14ac:dyDescent="0.3">
      <c r="A385" s="4">
        <v>405</v>
      </c>
      <c r="B385" s="4" t="s">
        <v>1494</v>
      </c>
      <c r="C385" s="4" t="s">
        <v>104</v>
      </c>
      <c r="D385" s="4" t="s">
        <v>291</v>
      </c>
      <c r="E385" s="7">
        <v>6300</v>
      </c>
    </row>
    <row r="386" spans="1:5" x14ac:dyDescent="0.3">
      <c r="A386" s="4">
        <v>405</v>
      </c>
      <c r="B386" s="4" t="s">
        <v>1498</v>
      </c>
      <c r="C386" s="4" t="s">
        <v>664</v>
      </c>
      <c r="D386" s="4" t="s">
        <v>249</v>
      </c>
      <c r="E386" s="7">
        <v>6300</v>
      </c>
    </row>
    <row r="387" spans="1:5" x14ac:dyDescent="0.3">
      <c r="A387" s="4">
        <v>411</v>
      </c>
      <c r="B387" s="4" t="s">
        <v>1502</v>
      </c>
      <c r="C387" s="4" t="s">
        <v>66</v>
      </c>
      <c r="D387" s="4" t="s">
        <v>102</v>
      </c>
      <c r="E387" s="7">
        <v>6200</v>
      </c>
    </row>
    <row r="388" spans="1:5" x14ac:dyDescent="0.3">
      <c r="A388" s="4">
        <v>411</v>
      </c>
      <c r="B388" s="4" t="s">
        <v>1506</v>
      </c>
      <c r="C388" s="4" t="s">
        <v>496</v>
      </c>
      <c r="D388" s="4" t="s">
        <v>71</v>
      </c>
      <c r="E388" s="7">
        <v>6200</v>
      </c>
    </row>
    <row r="389" spans="1:5" x14ac:dyDescent="0.3">
      <c r="A389" s="4">
        <v>411</v>
      </c>
      <c r="B389" s="4" t="s">
        <v>1509</v>
      </c>
      <c r="C389" s="4" t="s">
        <v>1510</v>
      </c>
      <c r="D389" s="4" t="s">
        <v>380</v>
      </c>
      <c r="E389" s="7">
        <v>6200</v>
      </c>
    </row>
    <row r="390" spans="1:5" x14ac:dyDescent="0.3">
      <c r="A390" s="4">
        <v>411</v>
      </c>
      <c r="B390" s="4" t="s">
        <v>1516</v>
      </c>
      <c r="C390" s="4" t="s">
        <v>104</v>
      </c>
      <c r="D390" s="4" t="s">
        <v>102</v>
      </c>
      <c r="E390" s="7">
        <v>6200</v>
      </c>
    </row>
    <row r="391" spans="1:5" x14ac:dyDescent="0.3">
      <c r="A391" s="4">
        <v>411</v>
      </c>
      <c r="B391" s="4" t="s">
        <v>1518</v>
      </c>
      <c r="C391" s="4" t="s">
        <v>104</v>
      </c>
      <c r="D391" s="4" t="s">
        <v>249</v>
      </c>
      <c r="E391" s="7">
        <v>6200</v>
      </c>
    </row>
    <row r="392" spans="1:5" x14ac:dyDescent="0.3">
      <c r="A392" s="4">
        <v>411</v>
      </c>
      <c r="B392" s="4" t="s">
        <v>1521</v>
      </c>
      <c r="C392" s="4" t="s">
        <v>104</v>
      </c>
      <c r="D392" s="4" t="s">
        <v>249</v>
      </c>
      <c r="E392" s="7">
        <v>6200</v>
      </c>
    </row>
    <row r="393" spans="1:5" x14ac:dyDescent="0.3">
      <c r="A393" s="4">
        <v>411</v>
      </c>
      <c r="B393" s="4" t="s">
        <v>1524</v>
      </c>
      <c r="C393" s="4" t="s">
        <v>1525</v>
      </c>
      <c r="D393" s="4" t="s">
        <v>48</v>
      </c>
      <c r="E393" s="7">
        <v>6200</v>
      </c>
    </row>
    <row r="394" spans="1:5" x14ac:dyDescent="0.3">
      <c r="A394" s="4">
        <v>418</v>
      </c>
      <c r="B394" s="4" t="s">
        <v>1530</v>
      </c>
      <c r="C394" s="4" t="s">
        <v>564</v>
      </c>
      <c r="D394" s="4" t="s">
        <v>71</v>
      </c>
      <c r="E394" s="7">
        <v>6100</v>
      </c>
    </row>
    <row r="395" spans="1:5" x14ac:dyDescent="0.3">
      <c r="A395" s="4">
        <v>418</v>
      </c>
      <c r="B395" s="4" t="s">
        <v>1533</v>
      </c>
      <c r="C395" s="4" t="s">
        <v>31</v>
      </c>
      <c r="D395" s="4" t="s">
        <v>48</v>
      </c>
      <c r="E395" s="7">
        <v>6100</v>
      </c>
    </row>
    <row r="396" spans="1:5" x14ac:dyDescent="0.3">
      <c r="A396" s="4">
        <v>418</v>
      </c>
      <c r="B396" s="4" t="s">
        <v>1536</v>
      </c>
      <c r="C396" s="4" t="s">
        <v>157</v>
      </c>
      <c r="D396" s="4" t="s">
        <v>20</v>
      </c>
      <c r="E396" s="7">
        <v>6100</v>
      </c>
    </row>
    <row r="397" spans="1:5" x14ac:dyDescent="0.3">
      <c r="A397" s="4">
        <v>418</v>
      </c>
      <c r="B397" s="4" t="s">
        <v>1539</v>
      </c>
      <c r="C397" s="4" t="s">
        <v>157</v>
      </c>
      <c r="D397" s="4" t="s">
        <v>20</v>
      </c>
      <c r="E397" s="7">
        <v>6100</v>
      </c>
    </row>
    <row r="398" spans="1:5" x14ac:dyDescent="0.3">
      <c r="A398" s="4">
        <v>425</v>
      </c>
      <c r="B398" s="4" t="s">
        <v>1541</v>
      </c>
      <c r="C398" s="4" t="s">
        <v>326</v>
      </c>
      <c r="D398" s="4" t="s">
        <v>271</v>
      </c>
      <c r="E398" s="7">
        <v>6000</v>
      </c>
    </row>
    <row r="399" spans="1:5" x14ac:dyDescent="0.3">
      <c r="A399" s="4">
        <v>425</v>
      </c>
      <c r="B399" s="4" t="s">
        <v>1544</v>
      </c>
      <c r="C399" s="4" t="s">
        <v>31</v>
      </c>
      <c r="D399" s="4" t="s">
        <v>461</v>
      </c>
      <c r="E399" s="7">
        <v>6000</v>
      </c>
    </row>
    <row r="400" spans="1:5" x14ac:dyDescent="0.3">
      <c r="A400" s="4">
        <v>425</v>
      </c>
      <c r="B400" s="4" t="s">
        <v>1547</v>
      </c>
      <c r="C400" s="4" t="s">
        <v>132</v>
      </c>
      <c r="D400" s="4" t="s">
        <v>20</v>
      </c>
      <c r="E400" s="7">
        <v>6000</v>
      </c>
    </row>
    <row r="401" spans="1:5" x14ac:dyDescent="0.3">
      <c r="A401" s="4">
        <v>425</v>
      </c>
      <c r="B401" s="4" t="s">
        <v>1551</v>
      </c>
      <c r="C401" s="4" t="s">
        <v>31</v>
      </c>
      <c r="D401" s="4" t="s">
        <v>37</v>
      </c>
      <c r="E401" s="7">
        <v>6000</v>
      </c>
    </row>
    <row r="402" spans="1:5" x14ac:dyDescent="0.3">
      <c r="A402" s="4">
        <v>425</v>
      </c>
      <c r="B402" s="4" t="s">
        <v>1556</v>
      </c>
      <c r="C402" s="4" t="s">
        <v>73</v>
      </c>
      <c r="D402" s="4" t="s">
        <v>20</v>
      </c>
      <c r="E402" s="7">
        <v>6000</v>
      </c>
    </row>
    <row r="403" spans="1:5" x14ac:dyDescent="0.3">
      <c r="A403" s="4">
        <v>425</v>
      </c>
      <c r="B403" s="4" t="s">
        <v>1558</v>
      </c>
      <c r="C403" s="4" t="s">
        <v>531</v>
      </c>
      <c r="D403" s="4" t="s">
        <v>71</v>
      </c>
      <c r="E403" s="7">
        <v>6000</v>
      </c>
    </row>
    <row r="404" spans="1:5" x14ac:dyDescent="0.3">
      <c r="A404" s="4">
        <v>425</v>
      </c>
      <c r="B404" s="4" t="s">
        <v>1561</v>
      </c>
      <c r="C404" s="4" t="s">
        <v>664</v>
      </c>
      <c r="D404" s="4" t="s">
        <v>48</v>
      </c>
      <c r="E404" s="7">
        <v>6000</v>
      </c>
    </row>
    <row r="405" spans="1:5" x14ac:dyDescent="0.3">
      <c r="A405" s="4">
        <v>425</v>
      </c>
      <c r="B405" s="4" t="s">
        <v>1564</v>
      </c>
      <c r="C405" s="4" t="s">
        <v>31</v>
      </c>
      <c r="D405" s="4" t="s">
        <v>48</v>
      </c>
      <c r="E405" s="7">
        <v>6000</v>
      </c>
    </row>
    <row r="406" spans="1:5" x14ac:dyDescent="0.3">
      <c r="A406" s="4">
        <v>425</v>
      </c>
      <c r="B406" s="4" t="s">
        <v>1566</v>
      </c>
      <c r="C406" s="4" t="s">
        <v>31</v>
      </c>
      <c r="D406" s="4" t="s">
        <v>37</v>
      </c>
      <c r="E406" s="7">
        <v>6000</v>
      </c>
    </row>
    <row r="407" spans="1:5" x14ac:dyDescent="0.3">
      <c r="A407" s="4">
        <v>425</v>
      </c>
      <c r="B407" s="4" t="s">
        <v>1569</v>
      </c>
      <c r="C407" s="4" t="s">
        <v>31</v>
      </c>
      <c r="D407" s="4" t="s">
        <v>20</v>
      </c>
      <c r="E407" s="7">
        <v>6000</v>
      </c>
    </row>
    <row r="408" spans="1:5" x14ac:dyDescent="0.3">
      <c r="A408" s="4">
        <v>437</v>
      </c>
      <c r="B408" s="4" t="s">
        <v>1573</v>
      </c>
      <c r="C408" s="4" t="s">
        <v>104</v>
      </c>
      <c r="D408" s="4" t="s">
        <v>461</v>
      </c>
      <c r="E408" s="7">
        <v>5900</v>
      </c>
    </row>
    <row r="409" spans="1:5" x14ac:dyDescent="0.3">
      <c r="A409" s="4">
        <v>437</v>
      </c>
      <c r="B409" s="4" t="s">
        <v>1576</v>
      </c>
      <c r="C409" s="4" t="s">
        <v>531</v>
      </c>
      <c r="D409" s="4" t="s">
        <v>71</v>
      </c>
      <c r="E409" s="7">
        <v>5900</v>
      </c>
    </row>
    <row r="410" spans="1:5" x14ac:dyDescent="0.3">
      <c r="A410" s="4">
        <v>437</v>
      </c>
      <c r="B410" s="4" t="s">
        <v>1579</v>
      </c>
      <c r="C410" s="4" t="s">
        <v>31</v>
      </c>
      <c r="D410" s="4" t="s">
        <v>48</v>
      </c>
      <c r="E410" s="7">
        <v>5900</v>
      </c>
    </row>
    <row r="411" spans="1:5" x14ac:dyDescent="0.3">
      <c r="A411" s="4">
        <v>437</v>
      </c>
      <c r="B411" s="4" t="s">
        <v>1582</v>
      </c>
      <c r="C411" s="4" t="s">
        <v>31</v>
      </c>
      <c r="D411" s="4" t="s">
        <v>48</v>
      </c>
      <c r="E411" s="7">
        <v>5900</v>
      </c>
    </row>
    <row r="412" spans="1:5" x14ac:dyDescent="0.3">
      <c r="A412" s="4">
        <v>437</v>
      </c>
      <c r="B412" s="4" t="s">
        <v>1586</v>
      </c>
      <c r="C412" s="4" t="s">
        <v>104</v>
      </c>
      <c r="D412" s="4" t="s">
        <v>102</v>
      </c>
      <c r="E412" s="7">
        <v>5900</v>
      </c>
    </row>
    <row r="413" spans="1:5" x14ac:dyDescent="0.3">
      <c r="A413" s="4">
        <v>442</v>
      </c>
      <c r="B413" s="4" t="s">
        <v>1590</v>
      </c>
      <c r="C413" s="4" t="s">
        <v>31</v>
      </c>
      <c r="D413" s="4" t="s">
        <v>48</v>
      </c>
      <c r="E413" s="7">
        <v>5800</v>
      </c>
    </row>
    <row r="414" spans="1:5" x14ac:dyDescent="0.3">
      <c r="A414" s="4">
        <v>442</v>
      </c>
      <c r="B414" s="4" t="s">
        <v>1593</v>
      </c>
      <c r="C414" s="4" t="s">
        <v>1194</v>
      </c>
      <c r="D414" s="4" t="s">
        <v>350</v>
      </c>
      <c r="E414" s="7">
        <v>5800</v>
      </c>
    </row>
    <row r="415" spans="1:5" x14ac:dyDescent="0.3">
      <c r="A415" s="4">
        <v>442</v>
      </c>
      <c r="B415" s="4" t="s">
        <v>1597</v>
      </c>
      <c r="C415" s="4" t="s">
        <v>31</v>
      </c>
      <c r="D415" s="4" t="s">
        <v>350</v>
      </c>
      <c r="E415" s="7">
        <v>5800</v>
      </c>
    </row>
    <row r="416" spans="1:5" x14ac:dyDescent="0.3">
      <c r="A416" s="4">
        <v>445</v>
      </c>
      <c r="B416" s="4" t="s">
        <v>1599</v>
      </c>
      <c r="C416" s="4" t="s">
        <v>1600</v>
      </c>
      <c r="D416" s="4" t="s">
        <v>271</v>
      </c>
      <c r="E416" s="7">
        <v>5700</v>
      </c>
    </row>
    <row r="417" spans="1:5" x14ac:dyDescent="0.3">
      <c r="A417" s="4">
        <v>445</v>
      </c>
      <c r="B417" s="4" t="s">
        <v>1606</v>
      </c>
      <c r="C417" s="4" t="s">
        <v>31</v>
      </c>
      <c r="D417" s="4" t="s">
        <v>350</v>
      </c>
      <c r="E417" s="7">
        <v>5700</v>
      </c>
    </row>
    <row r="418" spans="1:5" x14ac:dyDescent="0.3">
      <c r="A418" s="4">
        <v>445</v>
      </c>
      <c r="B418" s="4" t="s">
        <v>1608</v>
      </c>
      <c r="C418" s="4" t="s">
        <v>132</v>
      </c>
      <c r="D418" s="4" t="s">
        <v>291</v>
      </c>
      <c r="E418" s="7">
        <v>5700</v>
      </c>
    </row>
    <row r="419" spans="1:5" x14ac:dyDescent="0.3">
      <c r="A419" s="4">
        <v>445</v>
      </c>
      <c r="B419" s="4" t="s">
        <v>1611</v>
      </c>
      <c r="C419" s="4" t="s">
        <v>496</v>
      </c>
      <c r="D419" s="4" t="s">
        <v>461</v>
      </c>
      <c r="E419" s="7">
        <v>5700</v>
      </c>
    </row>
    <row r="420" spans="1:5" x14ac:dyDescent="0.3">
      <c r="A420" s="4">
        <v>445</v>
      </c>
      <c r="B420" s="4" t="s">
        <v>1614</v>
      </c>
      <c r="C420" s="4" t="s">
        <v>169</v>
      </c>
      <c r="D420" s="4" t="s">
        <v>579</v>
      </c>
      <c r="E420" s="7">
        <v>5700</v>
      </c>
    </row>
    <row r="421" spans="1:5" x14ac:dyDescent="0.3">
      <c r="A421" s="4">
        <v>445</v>
      </c>
      <c r="B421" s="4" t="s">
        <v>1617</v>
      </c>
      <c r="C421" s="4" t="s">
        <v>31</v>
      </c>
      <c r="D421" s="4" t="s">
        <v>48</v>
      </c>
      <c r="E421" s="7">
        <v>5700</v>
      </c>
    </row>
    <row r="422" spans="1:5" x14ac:dyDescent="0.3">
      <c r="A422" s="4">
        <v>445</v>
      </c>
      <c r="B422" s="4" t="s">
        <v>1619</v>
      </c>
      <c r="C422" s="4" t="s">
        <v>31</v>
      </c>
      <c r="D422" s="4" t="s">
        <v>48</v>
      </c>
      <c r="E422" s="7">
        <v>5700</v>
      </c>
    </row>
    <row r="423" spans="1:5" x14ac:dyDescent="0.3">
      <c r="A423" s="4">
        <v>445</v>
      </c>
      <c r="B423" s="4" t="s">
        <v>1622</v>
      </c>
      <c r="C423" s="4" t="s">
        <v>31</v>
      </c>
      <c r="D423" s="4" t="s">
        <v>48</v>
      </c>
      <c r="E423" s="7">
        <v>5700</v>
      </c>
    </row>
    <row r="424" spans="1:5" x14ac:dyDescent="0.3">
      <c r="A424" s="4">
        <v>455</v>
      </c>
      <c r="B424" s="4" t="s">
        <v>1623</v>
      </c>
      <c r="C424" s="4" t="s">
        <v>31</v>
      </c>
      <c r="D424" s="4" t="s">
        <v>291</v>
      </c>
      <c r="E424" s="7">
        <v>5600</v>
      </c>
    </row>
    <row r="425" spans="1:5" x14ac:dyDescent="0.3">
      <c r="A425" s="4">
        <v>455</v>
      </c>
      <c r="B425" s="4" t="s">
        <v>1627</v>
      </c>
      <c r="C425" s="4" t="s">
        <v>104</v>
      </c>
      <c r="D425" s="4" t="s">
        <v>167</v>
      </c>
      <c r="E425" s="7">
        <v>5600</v>
      </c>
    </row>
    <row r="426" spans="1:5" x14ac:dyDescent="0.3">
      <c r="A426" s="4">
        <v>455</v>
      </c>
      <c r="B426" s="4" t="s">
        <v>1630</v>
      </c>
      <c r="C426" s="4" t="s">
        <v>73</v>
      </c>
      <c r="D426" s="4" t="s">
        <v>29</v>
      </c>
      <c r="E426" s="7">
        <v>5600</v>
      </c>
    </row>
    <row r="427" spans="1:5" x14ac:dyDescent="0.3">
      <c r="A427" s="4">
        <v>455</v>
      </c>
      <c r="B427" s="4" t="s">
        <v>1634</v>
      </c>
      <c r="C427" s="4" t="s">
        <v>31</v>
      </c>
      <c r="D427" s="4" t="s">
        <v>48</v>
      </c>
      <c r="E427" s="7">
        <v>5600</v>
      </c>
    </row>
    <row r="428" spans="1:5" x14ac:dyDescent="0.3">
      <c r="A428" s="4">
        <v>455</v>
      </c>
      <c r="B428" s="4" t="s">
        <v>1637</v>
      </c>
      <c r="C428" s="4" t="s">
        <v>104</v>
      </c>
      <c r="D428" s="4" t="s">
        <v>350</v>
      </c>
      <c r="E428" s="7">
        <v>5600</v>
      </c>
    </row>
    <row r="429" spans="1:5" x14ac:dyDescent="0.3">
      <c r="A429" s="4">
        <v>455</v>
      </c>
      <c r="B429" s="4" t="s">
        <v>1640</v>
      </c>
      <c r="C429" s="4" t="s">
        <v>31</v>
      </c>
      <c r="D429" s="4" t="s">
        <v>48</v>
      </c>
      <c r="E429" s="7">
        <v>5600</v>
      </c>
    </row>
    <row r="430" spans="1:5" x14ac:dyDescent="0.3">
      <c r="A430" s="4">
        <v>455</v>
      </c>
      <c r="B430" s="4" t="s">
        <v>1645</v>
      </c>
      <c r="C430" s="4" t="s">
        <v>31</v>
      </c>
      <c r="D430" s="4" t="s">
        <v>380</v>
      </c>
      <c r="E430" s="7">
        <v>5600</v>
      </c>
    </row>
    <row r="431" spans="1:5" x14ac:dyDescent="0.3">
      <c r="A431" s="4">
        <v>455</v>
      </c>
      <c r="B431" s="4" t="s">
        <v>1647</v>
      </c>
      <c r="C431" s="4" t="s">
        <v>664</v>
      </c>
      <c r="D431" s="4" t="s">
        <v>195</v>
      </c>
      <c r="E431" s="7">
        <v>5600</v>
      </c>
    </row>
    <row r="432" spans="1:5" x14ac:dyDescent="0.3">
      <c r="A432" s="4">
        <v>455</v>
      </c>
      <c r="B432" s="4" t="s">
        <v>1651</v>
      </c>
      <c r="C432" s="4" t="s">
        <v>799</v>
      </c>
      <c r="D432" s="4" t="s">
        <v>350</v>
      </c>
      <c r="E432" s="7">
        <v>5600</v>
      </c>
    </row>
    <row r="433" spans="1:5" x14ac:dyDescent="0.3">
      <c r="A433" s="4">
        <v>455</v>
      </c>
      <c r="B433" s="4" t="s">
        <v>1655</v>
      </c>
      <c r="C433" s="4" t="s">
        <v>104</v>
      </c>
      <c r="D433" s="4" t="s">
        <v>29</v>
      </c>
      <c r="E433" s="7">
        <v>5600</v>
      </c>
    </row>
    <row r="434" spans="1:5" x14ac:dyDescent="0.3">
      <c r="A434" s="4">
        <v>466</v>
      </c>
      <c r="B434" s="4" t="s">
        <v>1657</v>
      </c>
      <c r="C434" s="4" t="s">
        <v>31</v>
      </c>
      <c r="D434" s="4" t="s">
        <v>380</v>
      </c>
      <c r="E434" s="7">
        <v>5500</v>
      </c>
    </row>
    <row r="435" spans="1:5" x14ac:dyDescent="0.3">
      <c r="A435" s="4">
        <v>466</v>
      </c>
      <c r="B435" s="4" t="s">
        <v>1662</v>
      </c>
      <c r="C435" s="4" t="s">
        <v>31</v>
      </c>
      <c r="D435" s="4" t="s">
        <v>58</v>
      </c>
      <c r="E435" s="7">
        <v>5500</v>
      </c>
    </row>
    <row r="436" spans="1:5" x14ac:dyDescent="0.3">
      <c r="A436" s="4">
        <v>466</v>
      </c>
      <c r="B436" s="4" t="s">
        <v>1665</v>
      </c>
      <c r="C436" s="4" t="s">
        <v>31</v>
      </c>
      <c r="D436" s="4" t="s">
        <v>37</v>
      </c>
      <c r="E436" s="7">
        <v>5500</v>
      </c>
    </row>
    <row r="437" spans="1:5" x14ac:dyDescent="0.3">
      <c r="A437" s="4">
        <v>466</v>
      </c>
      <c r="B437" s="4" t="s">
        <v>1668</v>
      </c>
      <c r="C437" s="4" t="s">
        <v>31</v>
      </c>
      <c r="D437" s="4" t="s">
        <v>37</v>
      </c>
      <c r="E437" s="7">
        <v>5500</v>
      </c>
    </row>
    <row r="438" spans="1:5" x14ac:dyDescent="0.3">
      <c r="A438" s="4">
        <v>466</v>
      </c>
      <c r="B438" s="4" t="s">
        <v>1670</v>
      </c>
      <c r="C438" s="4" t="s">
        <v>31</v>
      </c>
      <c r="D438" s="4" t="s">
        <v>249</v>
      </c>
      <c r="E438" s="7">
        <v>5500</v>
      </c>
    </row>
    <row r="439" spans="1:5" x14ac:dyDescent="0.3">
      <c r="A439" s="4">
        <v>466</v>
      </c>
      <c r="B439" s="4" t="s">
        <v>1675</v>
      </c>
      <c r="C439" s="4" t="s">
        <v>679</v>
      </c>
      <c r="D439" s="4" t="s">
        <v>29</v>
      </c>
      <c r="E439" s="7">
        <v>5500</v>
      </c>
    </row>
    <row r="440" spans="1:5" x14ac:dyDescent="0.3">
      <c r="A440" s="4">
        <v>466</v>
      </c>
      <c r="B440" s="4" t="s">
        <v>1679</v>
      </c>
      <c r="C440" s="4" t="s">
        <v>31</v>
      </c>
      <c r="D440" s="4" t="s">
        <v>29</v>
      </c>
      <c r="E440" s="7">
        <v>5500</v>
      </c>
    </row>
    <row r="441" spans="1:5" x14ac:dyDescent="0.3">
      <c r="A441" s="4">
        <v>466</v>
      </c>
      <c r="B441" s="4" t="s">
        <v>1682</v>
      </c>
      <c r="C441" s="4" t="s">
        <v>132</v>
      </c>
      <c r="D441" s="4" t="s">
        <v>71</v>
      </c>
      <c r="E441" s="7">
        <v>5500</v>
      </c>
    </row>
    <row r="442" spans="1:5" x14ac:dyDescent="0.3">
      <c r="A442" s="4">
        <v>466</v>
      </c>
      <c r="B442" s="4" t="s">
        <v>1683</v>
      </c>
      <c r="C442" s="4" t="s">
        <v>104</v>
      </c>
      <c r="D442" s="4" t="s">
        <v>249</v>
      </c>
      <c r="E442" s="7">
        <v>5500</v>
      </c>
    </row>
    <row r="443" spans="1:5" x14ac:dyDescent="0.3">
      <c r="A443" s="4">
        <v>466</v>
      </c>
      <c r="B443" s="4" t="s">
        <v>1685</v>
      </c>
      <c r="C443" s="4" t="s">
        <v>157</v>
      </c>
      <c r="D443" s="4" t="s">
        <v>350</v>
      </c>
      <c r="E443" s="7">
        <v>5500</v>
      </c>
    </row>
    <row r="444" spans="1:5" x14ac:dyDescent="0.3">
      <c r="A444" s="4">
        <v>466</v>
      </c>
      <c r="B444" s="4" t="s">
        <v>1687</v>
      </c>
      <c r="C444" s="4" t="s">
        <v>157</v>
      </c>
      <c r="D444" s="4" t="s">
        <v>48</v>
      </c>
      <c r="E444" s="7">
        <v>5500</v>
      </c>
    </row>
    <row r="445" spans="1:5" x14ac:dyDescent="0.3">
      <c r="A445" s="4">
        <v>466</v>
      </c>
      <c r="B445" s="4" t="s">
        <v>1691</v>
      </c>
      <c r="C445" s="4" t="s">
        <v>31</v>
      </c>
      <c r="D445" s="4" t="s">
        <v>249</v>
      </c>
      <c r="E445" s="7">
        <v>5500</v>
      </c>
    </row>
    <row r="446" spans="1:5" x14ac:dyDescent="0.3">
      <c r="A446" s="4">
        <v>466</v>
      </c>
      <c r="B446" s="4" t="s">
        <v>1694</v>
      </c>
      <c r="C446" s="4" t="s">
        <v>31</v>
      </c>
      <c r="D446" s="4" t="s">
        <v>58</v>
      </c>
      <c r="E446" s="7">
        <v>5500</v>
      </c>
    </row>
    <row r="447" spans="1:5" x14ac:dyDescent="0.3">
      <c r="A447" s="4">
        <v>466</v>
      </c>
      <c r="B447" s="4" t="s">
        <v>1698</v>
      </c>
      <c r="C447" s="4" t="s">
        <v>31</v>
      </c>
      <c r="D447" s="4" t="s">
        <v>48</v>
      </c>
      <c r="E447" s="7">
        <v>5500</v>
      </c>
    </row>
    <row r="448" spans="1:5" x14ac:dyDescent="0.3">
      <c r="A448" s="4">
        <v>466</v>
      </c>
      <c r="B448" s="4" t="s">
        <v>1701</v>
      </c>
      <c r="C448" s="4" t="s">
        <v>679</v>
      </c>
      <c r="D448" s="4" t="s">
        <v>350</v>
      </c>
      <c r="E448" s="7">
        <v>5500</v>
      </c>
    </row>
    <row r="449" spans="1:5" x14ac:dyDescent="0.3">
      <c r="A449" s="4">
        <v>466</v>
      </c>
      <c r="B449" s="4" t="s">
        <v>1706</v>
      </c>
      <c r="C449" s="4" t="s">
        <v>31</v>
      </c>
      <c r="D449" s="4" t="s">
        <v>58</v>
      </c>
      <c r="E449" s="7">
        <v>5500</v>
      </c>
    </row>
    <row r="450" spans="1:5" x14ac:dyDescent="0.3">
      <c r="A450" s="4">
        <v>466</v>
      </c>
      <c r="B450" s="4" t="s">
        <v>1710</v>
      </c>
      <c r="C450" s="4" t="s">
        <v>273</v>
      </c>
      <c r="D450" s="4" t="s">
        <v>37</v>
      </c>
      <c r="E450" s="7">
        <v>5500</v>
      </c>
    </row>
    <row r="451" spans="1:5" x14ac:dyDescent="0.3">
      <c r="A451" s="4">
        <v>466</v>
      </c>
      <c r="B451" s="4" t="s">
        <v>1712</v>
      </c>
      <c r="C451" s="4" t="s">
        <v>104</v>
      </c>
      <c r="D451" s="4" t="s">
        <v>71</v>
      </c>
      <c r="E451" s="7">
        <v>5500</v>
      </c>
    </row>
    <row r="452" spans="1:5" x14ac:dyDescent="0.3">
      <c r="A452" s="4">
        <v>486</v>
      </c>
      <c r="B452" s="4" t="s">
        <v>1714</v>
      </c>
      <c r="C452" s="4" t="s">
        <v>679</v>
      </c>
      <c r="D452" s="4" t="s">
        <v>20</v>
      </c>
      <c r="E452" s="7">
        <v>5400</v>
      </c>
    </row>
    <row r="453" spans="1:5" x14ac:dyDescent="0.3">
      <c r="A453" s="4">
        <v>486</v>
      </c>
      <c r="B453" s="4" t="s">
        <v>1717</v>
      </c>
      <c r="C453" s="4" t="s">
        <v>73</v>
      </c>
      <c r="D453" s="4" t="s">
        <v>249</v>
      </c>
      <c r="E453" s="7">
        <v>5400</v>
      </c>
    </row>
    <row r="454" spans="1:5" x14ac:dyDescent="0.3">
      <c r="A454" s="4">
        <v>486</v>
      </c>
      <c r="B454" s="4" t="s">
        <v>1720</v>
      </c>
      <c r="C454" s="4" t="s">
        <v>31</v>
      </c>
      <c r="D454" s="4" t="s">
        <v>48</v>
      </c>
      <c r="E454" s="7">
        <v>5400</v>
      </c>
    </row>
    <row r="455" spans="1:5" x14ac:dyDescent="0.3">
      <c r="A455" s="4">
        <v>486</v>
      </c>
      <c r="B455" s="4" t="s">
        <v>1725</v>
      </c>
      <c r="C455" s="4" t="s">
        <v>554</v>
      </c>
      <c r="D455" s="4" t="s">
        <v>37</v>
      </c>
      <c r="E455" s="7">
        <v>5400</v>
      </c>
    </row>
    <row r="456" spans="1:5" x14ac:dyDescent="0.3">
      <c r="A456" s="4">
        <v>486</v>
      </c>
      <c r="B456" s="4" t="s">
        <v>1728</v>
      </c>
      <c r="C456" s="4" t="s">
        <v>104</v>
      </c>
      <c r="D456" s="4" t="s">
        <v>71</v>
      </c>
      <c r="E456" s="7">
        <v>5400</v>
      </c>
    </row>
    <row r="457" spans="1:5" x14ac:dyDescent="0.3">
      <c r="A457" s="4">
        <v>486</v>
      </c>
      <c r="B457" s="4" t="s">
        <v>1733</v>
      </c>
      <c r="C457" s="4" t="s">
        <v>169</v>
      </c>
      <c r="D457" s="4" t="s">
        <v>249</v>
      </c>
      <c r="E457" s="7">
        <v>5400</v>
      </c>
    </row>
    <row r="458" spans="1:5" x14ac:dyDescent="0.3">
      <c r="A458" s="4">
        <v>486</v>
      </c>
      <c r="B458" s="4" t="s">
        <v>1737</v>
      </c>
      <c r="C458" s="4" t="s">
        <v>679</v>
      </c>
      <c r="D458" s="4" t="s">
        <v>20</v>
      </c>
      <c r="E458" s="7">
        <v>5400</v>
      </c>
    </row>
    <row r="459" spans="1:5" x14ac:dyDescent="0.3">
      <c r="A459" s="4">
        <v>486</v>
      </c>
      <c r="B459" s="4" t="s">
        <v>1740</v>
      </c>
      <c r="C459" s="4" t="s">
        <v>157</v>
      </c>
      <c r="D459" s="4" t="s">
        <v>20</v>
      </c>
      <c r="E459" s="7">
        <v>5400</v>
      </c>
    </row>
    <row r="460" spans="1:5" x14ac:dyDescent="0.3">
      <c r="A460" s="4">
        <v>486</v>
      </c>
      <c r="B460" s="4" t="s">
        <v>1744</v>
      </c>
      <c r="C460" s="4" t="s">
        <v>157</v>
      </c>
      <c r="D460" s="4" t="s">
        <v>20</v>
      </c>
      <c r="E460" s="7">
        <v>5400</v>
      </c>
    </row>
    <row r="461" spans="1:5" x14ac:dyDescent="0.3">
      <c r="A461" s="4">
        <v>486</v>
      </c>
      <c r="B461" s="4" t="s">
        <v>1747</v>
      </c>
      <c r="C461" s="4" t="s">
        <v>207</v>
      </c>
      <c r="D461" s="4" t="s">
        <v>20</v>
      </c>
      <c r="E461" s="7">
        <v>5400</v>
      </c>
    </row>
    <row r="462" spans="1:5" x14ac:dyDescent="0.3">
      <c r="A462" s="4">
        <v>486</v>
      </c>
      <c r="B462" s="4" t="s">
        <v>1748</v>
      </c>
      <c r="C462" s="4" t="s">
        <v>207</v>
      </c>
      <c r="D462" s="4" t="s">
        <v>20</v>
      </c>
      <c r="E462" s="7">
        <v>5400</v>
      </c>
    </row>
    <row r="463" spans="1:5" x14ac:dyDescent="0.3">
      <c r="A463" s="4">
        <v>497</v>
      </c>
      <c r="B463" s="4" t="s">
        <v>1751</v>
      </c>
      <c r="C463" s="4" t="s">
        <v>31</v>
      </c>
      <c r="D463" s="4" t="s">
        <v>48</v>
      </c>
      <c r="E463" s="7">
        <v>5300</v>
      </c>
    </row>
    <row r="464" spans="1:5" x14ac:dyDescent="0.3">
      <c r="A464" s="4">
        <v>497</v>
      </c>
      <c r="B464" s="4" t="s">
        <v>1754</v>
      </c>
      <c r="C464" s="4" t="s">
        <v>31</v>
      </c>
      <c r="D464" s="4" t="s">
        <v>461</v>
      </c>
      <c r="E464" s="7">
        <v>5300</v>
      </c>
    </row>
    <row r="465" spans="1:5" x14ac:dyDescent="0.3">
      <c r="A465" s="4">
        <v>497</v>
      </c>
      <c r="B465" s="4" t="s">
        <v>1756</v>
      </c>
      <c r="C465" s="4" t="s">
        <v>1757</v>
      </c>
      <c r="D465" s="4" t="s">
        <v>249</v>
      </c>
      <c r="E465" s="7">
        <v>5300</v>
      </c>
    </row>
    <row r="466" spans="1:5" x14ac:dyDescent="0.3">
      <c r="A466" s="4">
        <v>497</v>
      </c>
      <c r="B466" s="4" t="s">
        <v>1763</v>
      </c>
      <c r="C466" s="4" t="s">
        <v>31</v>
      </c>
      <c r="D466" s="4" t="s">
        <v>48</v>
      </c>
      <c r="E466" s="7">
        <v>5300</v>
      </c>
    </row>
    <row r="467" spans="1:5" x14ac:dyDescent="0.3">
      <c r="A467" s="4">
        <v>497</v>
      </c>
      <c r="B467" s="4" t="s">
        <v>1764</v>
      </c>
      <c r="C467" s="4" t="s">
        <v>31</v>
      </c>
      <c r="D467" s="4" t="s">
        <v>48</v>
      </c>
      <c r="E467" s="7">
        <v>5300</v>
      </c>
    </row>
    <row r="468" spans="1:5" x14ac:dyDescent="0.3">
      <c r="A468" s="4">
        <v>497</v>
      </c>
      <c r="B468" s="4" t="s">
        <v>1766</v>
      </c>
      <c r="C468" s="4" t="s">
        <v>293</v>
      </c>
      <c r="D468" s="4" t="s">
        <v>71</v>
      </c>
      <c r="E468" s="7">
        <v>5300</v>
      </c>
    </row>
    <row r="469" spans="1:5" x14ac:dyDescent="0.3">
      <c r="A469" s="4">
        <v>497</v>
      </c>
      <c r="B469" s="4" t="s">
        <v>1769</v>
      </c>
      <c r="C469" s="4" t="s">
        <v>31</v>
      </c>
      <c r="D469" s="4" t="s">
        <v>48</v>
      </c>
      <c r="E469" s="7">
        <v>5300</v>
      </c>
    </row>
    <row r="470" spans="1:5" x14ac:dyDescent="0.3">
      <c r="A470" s="4">
        <v>497</v>
      </c>
      <c r="B470" s="4" t="s">
        <v>1770</v>
      </c>
      <c r="C470" s="4" t="s">
        <v>31</v>
      </c>
      <c r="D470" s="4" t="s">
        <v>102</v>
      </c>
      <c r="E470" s="7">
        <v>5300</v>
      </c>
    </row>
    <row r="471" spans="1:5" x14ac:dyDescent="0.3">
      <c r="A471" s="4">
        <v>497</v>
      </c>
      <c r="B471" s="4" t="s">
        <v>1773</v>
      </c>
      <c r="C471" s="4" t="s">
        <v>31</v>
      </c>
      <c r="D471" s="4" t="s">
        <v>102</v>
      </c>
      <c r="E471" s="7">
        <v>5300</v>
      </c>
    </row>
    <row r="472" spans="1:5" x14ac:dyDescent="0.3">
      <c r="A472" s="4">
        <v>497</v>
      </c>
      <c r="B472" s="4" t="s">
        <v>1775</v>
      </c>
      <c r="C472" s="4" t="s">
        <v>31</v>
      </c>
      <c r="D472" s="4" t="s">
        <v>380</v>
      </c>
      <c r="E472" s="7">
        <v>5300</v>
      </c>
    </row>
    <row r="473" spans="1:5" x14ac:dyDescent="0.3">
      <c r="A473" s="4">
        <v>497</v>
      </c>
      <c r="B473" s="4" t="s">
        <v>1779</v>
      </c>
      <c r="C473" s="4" t="s">
        <v>31</v>
      </c>
      <c r="D473" s="4" t="s">
        <v>48</v>
      </c>
      <c r="E473" s="7">
        <v>5300</v>
      </c>
    </row>
    <row r="474" spans="1:5" x14ac:dyDescent="0.3">
      <c r="A474" s="4">
        <v>497</v>
      </c>
      <c r="B474" s="4" t="s">
        <v>1782</v>
      </c>
      <c r="C474" s="4" t="s">
        <v>31</v>
      </c>
      <c r="D474" s="4" t="s">
        <v>249</v>
      </c>
      <c r="E474" s="7">
        <v>5300</v>
      </c>
    </row>
    <row r="475" spans="1:5" x14ac:dyDescent="0.3">
      <c r="A475" s="4">
        <v>497</v>
      </c>
      <c r="B475" s="4" t="s">
        <v>1786</v>
      </c>
      <c r="C475" s="4" t="s">
        <v>157</v>
      </c>
      <c r="D475" s="4" t="s">
        <v>102</v>
      </c>
      <c r="E475" s="7">
        <v>5300</v>
      </c>
    </row>
    <row r="476" spans="1:5" x14ac:dyDescent="0.3">
      <c r="A476" s="4">
        <v>497</v>
      </c>
      <c r="B476" s="4" t="s">
        <v>1791</v>
      </c>
      <c r="C476" s="4" t="s">
        <v>305</v>
      </c>
      <c r="D476" s="4" t="s">
        <v>20</v>
      </c>
      <c r="E476" s="7">
        <v>5300</v>
      </c>
    </row>
  </sheetData>
  <conditionalFormatting sqref="E1:E1048576">
    <cfRule type="top10" dxfId="3" priority="4" rank="10"/>
    <cfRule type="dataBar" priority="5">
      <dataBar>
        <cfvo type="min"/>
        <cfvo type="max"/>
        <color rgb="FF638EC6"/>
      </dataBar>
      <extLst>
        <ext xmlns:x14="http://schemas.microsoft.com/office/spreadsheetml/2009/9/main" uri="{B025F937-C7B1-47D3-B67F-A62EFF666E3E}">
          <x14:id>{22AE92ED-3025-4045-AB6A-1FBBD2F856AB}</x14:id>
        </ext>
      </extLst>
    </cfRule>
    <cfRule type="top10" dxfId="2" priority="6" rank="10"/>
  </conditionalFormatting>
  <conditionalFormatting sqref="J2:J11">
    <cfRule type="top10" dxfId="1" priority="1" rank="10"/>
    <cfRule type="dataBar" priority="2">
      <dataBar>
        <cfvo type="min"/>
        <cfvo type="max"/>
        <color rgb="FF638EC6"/>
      </dataBar>
      <extLst>
        <ext xmlns:x14="http://schemas.microsoft.com/office/spreadsheetml/2009/9/main" uri="{B025F937-C7B1-47D3-B67F-A62EFF666E3E}">
          <x14:id>{453069FF-A38C-4069-B290-3311D5005B4D}</x14:id>
        </ext>
      </extLst>
    </cfRule>
    <cfRule type="top10" dxfId="0" priority="3"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2AE92ED-3025-4045-AB6A-1FBBD2F856AB}">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 xmlns:xm="http://schemas.microsoft.com/office/excel/2006/main">
          <x14:cfRule type="dataBar" id="{453069FF-A38C-4069-B290-3311D5005B4D}">
            <x14:dataBar minLength="0" maxLength="100" border="1" negativeBarBorderColorSameAsPositive="0">
              <x14:cfvo type="autoMin"/>
              <x14:cfvo type="autoMax"/>
              <x14:borderColor rgb="FF638EC6"/>
              <x14:negativeFillColor rgb="FFFF0000"/>
              <x14:negativeBorderColor rgb="FFFF0000"/>
              <x14:axisColor rgb="FF000000"/>
            </x14:dataBar>
          </x14:cfRule>
          <xm:sqref>J2:J11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I483"/>
  <sheetViews>
    <sheetView topLeftCell="A2" workbookViewId="0">
      <selection activeCell="C2" sqref="C2:I483"/>
    </sheetView>
  </sheetViews>
  <sheetFormatPr defaultRowHeight="15.6" x14ac:dyDescent="0.3"/>
  <cols>
    <col min="3" max="3" width="35.19921875" bestFit="1" customWidth="1"/>
    <col min="5" max="5" width="11" bestFit="1" customWidth="1"/>
    <col min="6" max="6" width="8.3984375" bestFit="1" customWidth="1"/>
    <col min="7" max="7" width="20.59765625" customWidth="1"/>
    <col min="9" max="9" width="31.69921875" customWidth="1"/>
  </cols>
  <sheetData>
    <row r="2" spans="3:9" x14ac:dyDescent="0.3">
      <c r="C2" s="3" t="s">
        <v>2</v>
      </c>
      <c r="D2" s="3" t="s">
        <v>11</v>
      </c>
      <c r="E2" s="3" t="s">
        <v>12</v>
      </c>
      <c r="F2" s="3" t="s">
        <v>13</v>
      </c>
      <c r="G2" s="2" t="s">
        <v>1800</v>
      </c>
      <c r="H2" s="2" t="s">
        <v>1801</v>
      </c>
      <c r="I2" s="2" t="s">
        <v>1807</v>
      </c>
    </row>
    <row r="3" spans="3:9" x14ac:dyDescent="0.3">
      <c r="C3" s="4" t="s">
        <v>21</v>
      </c>
      <c r="D3" s="4">
        <v>1949</v>
      </c>
      <c r="E3" s="4">
        <v>3</v>
      </c>
      <c r="F3" s="4">
        <v>5</v>
      </c>
      <c r="G3" s="15">
        <f>DATE(D3,E3,F3)</f>
        <v>17962</v>
      </c>
      <c r="H3">
        <f ca="1">DATEDIF(G3,TODAY(),"Y")</f>
        <v>77</v>
      </c>
      <c r="I3" t="str" cm="1">
        <f t="array" aca="1" ref="I3" ca="1">_xlfn.IFS(H3&gt;=80,"OLD MAN",H3&gt;=60,"AGED",H3&gt;=30,"MIDDLE AGE",H3&gt;=18,"YOUNG")</f>
        <v>AGED</v>
      </c>
    </row>
    <row r="4" spans="3:9" x14ac:dyDescent="0.3">
      <c r="C4" s="4" t="s">
        <v>30</v>
      </c>
      <c r="D4" s="4">
        <v>1971</v>
      </c>
      <c r="E4" s="4">
        <v>6</v>
      </c>
      <c r="F4" s="4">
        <v>28</v>
      </c>
      <c r="G4" s="15">
        <f t="shared" ref="G4:G67" si="0">DATE(D4,E4,F4)</f>
        <v>26112</v>
      </c>
      <c r="H4">
        <f t="shared" ref="H4:H67" ca="1" si="1">DATEDIF(G4,TODAY(),"Y")</f>
        <v>54</v>
      </c>
      <c r="I4" t="str" cm="1">
        <f t="array" aca="1" ref="I4" ca="1">_xlfn.IFS(H4&gt;=80,"OLD MAN",H4&gt;=60,"AGED",H4&gt;=30,"MIDDLE AGE",H4&gt;=18,"YOUNG")</f>
        <v>MIDDLE AGE</v>
      </c>
    </row>
    <row r="5" spans="3:9" x14ac:dyDescent="0.3">
      <c r="C5" s="4" t="s">
        <v>38</v>
      </c>
      <c r="D5" s="4">
        <v>1964</v>
      </c>
      <c r="E5" s="4">
        <v>1</v>
      </c>
      <c r="F5" s="4">
        <v>12</v>
      </c>
      <c r="G5" s="15">
        <f t="shared" si="0"/>
        <v>23388</v>
      </c>
      <c r="H5">
        <f t="shared" ca="1" si="1"/>
        <v>62</v>
      </c>
      <c r="I5" t="str" cm="1">
        <f t="array" aca="1" ref="I5" ca="1">_xlfn.IFS(H5&gt;=80,"OLD MAN",H5&gt;=60,"AGED",H5&gt;=30,"MIDDLE AGE",H5&gt;=18,"YOUNG")</f>
        <v>AGED</v>
      </c>
    </row>
    <row r="6" spans="3:9" x14ac:dyDescent="0.3">
      <c r="C6" s="4" t="s">
        <v>43</v>
      </c>
      <c r="D6" s="4">
        <v>1944</v>
      </c>
      <c r="E6" s="4">
        <v>8</v>
      </c>
      <c r="F6" s="4">
        <v>17</v>
      </c>
      <c r="G6" s="15">
        <f t="shared" si="0"/>
        <v>16301</v>
      </c>
      <c r="H6">
        <f t="shared" ca="1" si="1"/>
        <v>81</v>
      </c>
      <c r="I6" t="str" cm="1">
        <f t="array" aca="1" ref="I6" ca="1">_xlfn.IFS(H6&gt;=80,"OLD MAN",H6&gt;=60,"AGED",H6&gt;=30,"MIDDLE AGE",H6&gt;=18,"YOUNG")</f>
        <v>OLD MAN</v>
      </c>
    </row>
    <row r="7" spans="3:9" x14ac:dyDescent="0.3">
      <c r="C7" s="4" t="s">
        <v>49</v>
      </c>
      <c r="D7" s="4">
        <v>1930</v>
      </c>
      <c r="E7" s="4">
        <v>8</v>
      </c>
      <c r="F7" s="4">
        <v>30</v>
      </c>
      <c r="G7" s="15">
        <f t="shared" si="0"/>
        <v>11200</v>
      </c>
      <c r="H7">
        <f t="shared" ca="1" si="1"/>
        <v>95</v>
      </c>
      <c r="I7" t="str" cm="1">
        <f t="array" aca="1" ref="I7" ca="1">_xlfn.IFS(H7&gt;=80,"OLD MAN",H7&gt;=60,"AGED",H7&gt;=30,"MIDDLE AGE",H7&gt;=18,"YOUNG")</f>
        <v>OLD MAN</v>
      </c>
    </row>
    <row r="8" spans="3:9" x14ac:dyDescent="0.3">
      <c r="C8" s="4" t="s">
        <v>54</v>
      </c>
      <c r="D8" s="4">
        <v>1955</v>
      </c>
      <c r="E8" s="4">
        <v>10</v>
      </c>
      <c r="F8" s="4">
        <v>28</v>
      </c>
      <c r="G8" s="15">
        <f t="shared" si="0"/>
        <v>20390</v>
      </c>
      <c r="H8">
        <f t="shared" ca="1" si="1"/>
        <v>70</v>
      </c>
      <c r="I8" t="str" cm="1">
        <f t="array" aca="1" ref="I8" ca="1">_xlfn.IFS(H8&gt;=80,"OLD MAN",H8&gt;=60,"AGED",H8&gt;=30,"MIDDLE AGE",H8&gt;=18,"YOUNG")</f>
        <v>AGED</v>
      </c>
    </row>
    <row r="9" spans="3:9" x14ac:dyDescent="0.3">
      <c r="C9" s="4" t="s">
        <v>54</v>
      </c>
      <c r="D9" s="4">
        <v>1955</v>
      </c>
      <c r="E9" s="4">
        <v>10</v>
      </c>
      <c r="F9" s="4">
        <v>28</v>
      </c>
      <c r="G9" s="15">
        <f t="shared" si="0"/>
        <v>20390</v>
      </c>
      <c r="H9">
        <f t="shared" ca="1" si="1"/>
        <v>70</v>
      </c>
      <c r="I9" t="str" cm="1">
        <f t="array" aca="1" ref="I9" ca="1">_xlfn.IFS(H9&gt;=80,"OLD MAN",H9&gt;=60,"AGED",H9&gt;=30,"MIDDLE AGE",H9&gt;=18,"YOUNG")</f>
        <v>AGED</v>
      </c>
    </row>
    <row r="10" spans="3:9" x14ac:dyDescent="0.3">
      <c r="C10" s="4" t="s">
        <v>59</v>
      </c>
      <c r="D10" s="4">
        <v>1942</v>
      </c>
      <c r="E10" s="4">
        <v>2</v>
      </c>
      <c r="F10" s="4">
        <v>14</v>
      </c>
      <c r="G10" s="15">
        <f t="shared" si="0"/>
        <v>15386</v>
      </c>
      <c r="H10">
        <f t="shared" ca="1" si="1"/>
        <v>84</v>
      </c>
      <c r="I10" t="str" cm="1">
        <f t="array" aca="1" ref="I10" ca="1">_xlfn.IFS(H10&gt;=80,"OLD MAN",H10&gt;=60,"AGED",H10&gt;=30,"MIDDLE AGE",H10&gt;=18,"YOUNG")</f>
        <v>OLD MAN</v>
      </c>
    </row>
    <row r="11" spans="3:9" x14ac:dyDescent="0.3">
      <c r="C11" s="4" t="s">
        <v>65</v>
      </c>
      <c r="D11" s="4">
        <v>1940</v>
      </c>
      <c r="E11" s="4">
        <v>1</v>
      </c>
      <c r="F11" s="4">
        <v>28</v>
      </c>
      <c r="G11" s="15">
        <f t="shared" si="0"/>
        <v>14638</v>
      </c>
      <c r="H11">
        <f t="shared" ca="1" si="1"/>
        <v>86</v>
      </c>
      <c r="I11" t="str" cm="1">
        <f t="array" aca="1" ref="I11" ca="1">_xlfn.IFS(H11&gt;=80,"OLD MAN",H11&gt;=60,"AGED",H11&gt;=30,"MIDDLE AGE",H11&gt;=18,"YOUNG")</f>
        <v>OLD MAN</v>
      </c>
    </row>
    <row r="12" spans="3:9" x14ac:dyDescent="0.3">
      <c r="C12" s="4" t="s">
        <v>72</v>
      </c>
      <c r="D12" s="4">
        <v>1957</v>
      </c>
      <c r="E12" s="4">
        <v>4</v>
      </c>
      <c r="F12" s="4">
        <v>19</v>
      </c>
      <c r="G12" s="15">
        <f t="shared" si="0"/>
        <v>20929</v>
      </c>
      <c r="H12">
        <f t="shared" ca="1" si="1"/>
        <v>69</v>
      </c>
      <c r="I12" t="str" cm="1">
        <f t="array" aca="1" ref="I12" ca="1">_xlfn.IFS(H12&gt;=80,"OLD MAN",H12&gt;=60,"AGED",H12&gt;=30,"MIDDLE AGE",H12&gt;=18,"YOUNG")</f>
        <v>AGED</v>
      </c>
    </row>
    <row r="13" spans="3:9" x14ac:dyDescent="0.3">
      <c r="C13" s="4" t="s">
        <v>78</v>
      </c>
      <c r="D13" s="4">
        <v>1956</v>
      </c>
      <c r="E13" s="4">
        <v>3</v>
      </c>
      <c r="F13" s="4">
        <v>24</v>
      </c>
      <c r="G13" s="15">
        <f t="shared" si="0"/>
        <v>20538</v>
      </c>
      <c r="H13">
        <f t="shared" ca="1" si="1"/>
        <v>70</v>
      </c>
      <c r="I13" t="str" cm="1">
        <f t="array" aca="1" ref="I13" ca="1">_xlfn.IFS(H13&gt;=80,"OLD MAN",H13&gt;=60,"AGED",H13&gt;=30,"MIDDLE AGE",H13&gt;=18,"YOUNG")</f>
        <v>AGED</v>
      </c>
    </row>
    <row r="14" spans="3:9" x14ac:dyDescent="0.3">
      <c r="C14" s="4" t="s">
        <v>82</v>
      </c>
      <c r="D14" s="4">
        <v>1953</v>
      </c>
      <c r="E14" s="4">
        <v>7</v>
      </c>
      <c r="F14" s="4">
        <v>10</v>
      </c>
      <c r="G14" s="15">
        <f t="shared" si="0"/>
        <v>19550</v>
      </c>
      <c r="H14">
        <f t="shared" ca="1" si="1"/>
        <v>72</v>
      </c>
      <c r="I14" t="str" cm="1">
        <f t="array" aca="1" ref="I14" ca="1">_xlfn.IFS(H14&gt;=80,"OLD MAN",H14&gt;=60,"AGED",H14&gt;=30,"MIDDLE AGE",H14&gt;=18,"YOUNG")</f>
        <v>AGED</v>
      </c>
    </row>
    <row r="15" spans="3:9" x14ac:dyDescent="0.3">
      <c r="C15" s="4" t="s">
        <v>87</v>
      </c>
      <c r="D15" s="4">
        <v>1973</v>
      </c>
      <c r="E15" s="4">
        <v>3</v>
      </c>
      <c r="F15" s="4">
        <v>26</v>
      </c>
      <c r="G15" s="15">
        <f t="shared" si="0"/>
        <v>26749</v>
      </c>
      <c r="H15">
        <f t="shared" ca="1" si="1"/>
        <v>53</v>
      </c>
      <c r="I15" t="str" cm="1">
        <f t="array" aca="1" ref="I15" ca="1">_xlfn.IFS(H15&gt;=80,"OLD MAN",H15&gt;=60,"AGED",H15&gt;=30,"MIDDLE AGE",H15&gt;=18,"YOUNG")</f>
        <v>MIDDLE AGE</v>
      </c>
    </row>
    <row r="16" spans="3:9" x14ac:dyDescent="0.3">
      <c r="C16" s="4" t="s">
        <v>91</v>
      </c>
      <c r="D16" s="4">
        <v>1936</v>
      </c>
      <c r="E16" s="4">
        <v>3</v>
      </c>
      <c r="F16" s="4">
        <v>28</v>
      </c>
      <c r="G16" s="15">
        <f t="shared" si="0"/>
        <v>13237</v>
      </c>
      <c r="H16">
        <f t="shared" ca="1" si="1"/>
        <v>90</v>
      </c>
      <c r="I16" t="str" cm="1">
        <f t="array" aca="1" ref="I16" ca="1">_xlfn.IFS(H16&gt;=80,"OLD MAN",H16&gt;=60,"AGED",H16&gt;=30,"MIDDLE AGE",H16&gt;=18,"YOUNG")</f>
        <v>OLD MAN</v>
      </c>
    </row>
    <row r="17" spans="3:9" x14ac:dyDescent="0.3">
      <c r="C17" s="4" t="s">
        <v>98</v>
      </c>
      <c r="D17" s="4">
        <v>1973</v>
      </c>
      <c r="E17" s="4">
        <v>8</v>
      </c>
      <c r="F17" s="4">
        <v>21</v>
      </c>
      <c r="G17" s="15">
        <f t="shared" si="0"/>
        <v>26897</v>
      </c>
      <c r="H17">
        <f t="shared" ca="1" si="1"/>
        <v>52</v>
      </c>
      <c r="I17" t="str" cm="1">
        <f t="array" aca="1" ref="I17" ca="1">_xlfn.IFS(H17&gt;=80,"OLD MAN",H17&gt;=60,"AGED",H17&gt;=30,"MIDDLE AGE",H17&gt;=18,"YOUNG")</f>
        <v>MIDDLE AGE</v>
      </c>
    </row>
    <row r="18" spans="3:9" x14ac:dyDescent="0.3">
      <c r="C18" s="4" t="s">
        <v>103</v>
      </c>
      <c r="D18" s="4">
        <v>1954</v>
      </c>
      <c r="E18" s="4">
        <v>12</v>
      </c>
      <c r="F18" s="4">
        <v>1</v>
      </c>
      <c r="G18" s="15">
        <f t="shared" si="0"/>
        <v>20059</v>
      </c>
      <c r="H18">
        <f t="shared" ca="1" si="1"/>
        <v>71</v>
      </c>
      <c r="I18" t="str" cm="1">
        <f t="array" aca="1" ref="I18" ca="1">_xlfn.IFS(H18&gt;=80,"OLD MAN",H18&gt;=60,"AGED",H18&gt;=30,"MIDDLE AGE",H18&gt;=18,"YOUNG")</f>
        <v>AGED</v>
      </c>
    </row>
    <row r="19" spans="3:9" x14ac:dyDescent="0.3">
      <c r="C19" s="4" t="s">
        <v>110</v>
      </c>
      <c r="D19" s="4">
        <v>1984</v>
      </c>
      <c r="E19" s="4">
        <v>5</v>
      </c>
      <c r="F19" s="4">
        <v>14</v>
      </c>
      <c r="G19" s="15">
        <f t="shared" si="0"/>
        <v>30816</v>
      </c>
      <c r="H19">
        <f t="shared" ca="1" si="1"/>
        <v>41</v>
      </c>
      <c r="I19" t="str" cm="1">
        <f t="array" aca="1" ref="I19" ca="1">_xlfn.IFS(H19&gt;=80,"OLD MAN",H19&gt;=60,"AGED",H19&gt;=30,"MIDDLE AGE",H19&gt;=18,"YOUNG")</f>
        <v>MIDDLE AGE</v>
      </c>
    </row>
    <row r="20" spans="3:9" x14ac:dyDescent="0.3">
      <c r="C20" s="4" t="s">
        <v>114</v>
      </c>
      <c r="D20" s="4">
        <v>1935</v>
      </c>
      <c r="E20" s="4">
        <v>11</v>
      </c>
      <c r="F20" s="4">
        <v>1</v>
      </c>
      <c r="G20" s="15">
        <f t="shared" si="0"/>
        <v>13089</v>
      </c>
      <c r="H20">
        <f t="shared" ca="1" si="1"/>
        <v>90</v>
      </c>
      <c r="I20" t="str" cm="1">
        <f t="array" aca="1" ref="I20" ca="1">_xlfn.IFS(H20&gt;=80,"OLD MAN",H20&gt;=60,"AGED",H20&gt;=30,"MIDDLE AGE",H20&gt;=18,"YOUNG")</f>
        <v>OLD MAN</v>
      </c>
    </row>
    <row r="21" spans="3:9" x14ac:dyDescent="0.3">
      <c r="C21" s="4" t="s">
        <v>119</v>
      </c>
      <c r="D21" s="4">
        <v>1962</v>
      </c>
      <c r="E21" s="4">
        <v>4</v>
      </c>
      <c r="F21" s="4">
        <v>12</v>
      </c>
      <c r="G21" s="15">
        <f t="shared" si="0"/>
        <v>22748</v>
      </c>
      <c r="H21">
        <f t="shared" ca="1" si="1"/>
        <v>64</v>
      </c>
      <c r="I21" t="str" cm="1">
        <f t="array" aca="1" ref="I21" ca="1">_xlfn.IFS(H21&gt;=80,"OLD MAN",H21&gt;=60,"AGED",H21&gt;=30,"MIDDLE AGE",H21&gt;=18,"YOUNG")</f>
        <v>AGED</v>
      </c>
    </row>
    <row r="22" spans="3:9" x14ac:dyDescent="0.3">
      <c r="C22" s="4" t="s">
        <v>121</v>
      </c>
      <c r="D22" s="4">
        <v>1948</v>
      </c>
      <c r="E22" s="4">
        <v>6</v>
      </c>
      <c r="F22" s="4">
        <v>7</v>
      </c>
      <c r="G22" s="15">
        <f t="shared" si="0"/>
        <v>17691</v>
      </c>
      <c r="H22">
        <f t="shared" ca="1" si="1"/>
        <v>77</v>
      </c>
      <c r="I22" t="str" cm="1">
        <f t="array" aca="1" ref="I22" ca="1">_xlfn.IFS(H22&gt;=80,"OLD MAN",H22&gt;=60,"AGED",H22&gt;=30,"MIDDLE AGE",H22&gt;=18,"YOUNG")</f>
        <v>AGED</v>
      </c>
    </row>
    <row r="23" spans="3:9" x14ac:dyDescent="0.3">
      <c r="C23" s="4" t="s">
        <v>126</v>
      </c>
      <c r="D23" s="4">
        <v>1944</v>
      </c>
      <c r="E23" s="4">
        <v>10</v>
      </c>
      <c r="F23" s="4">
        <v>27</v>
      </c>
      <c r="G23" s="15">
        <f t="shared" si="0"/>
        <v>16372</v>
      </c>
      <c r="H23">
        <f t="shared" ca="1" si="1"/>
        <v>81</v>
      </c>
      <c r="I23" t="str" cm="1">
        <f t="array" aca="1" ref="I23" ca="1">_xlfn.IFS(H23&gt;=80,"OLD MAN",H23&gt;=60,"AGED",H23&gt;=30,"MIDDLE AGE",H23&gt;=18,"YOUNG")</f>
        <v>OLD MAN</v>
      </c>
    </row>
    <row r="24" spans="3:9" x14ac:dyDescent="0.3">
      <c r="C24" s="4" t="s">
        <v>128</v>
      </c>
      <c r="D24" s="4">
        <v>1949</v>
      </c>
      <c r="E24" s="4">
        <v>10</v>
      </c>
      <c r="F24" s="4">
        <v>7</v>
      </c>
      <c r="G24" s="15">
        <f t="shared" si="0"/>
        <v>18178</v>
      </c>
      <c r="H24">
        <f t="shared" ca="1" si="1"/>
        <v>76</v>
      </c>
      <c r="I24" t="str" cm="1">
        <f t="array" aca="1" ref="I24" ca="1">_xlfn.IFS(H24&gt;=80,"OLD MAN",H24&gt;=60,"AGED",H24&gt;=30,"MIDDLE AGE",H24&gt;=18,"YOUNG")</f>
        <v>AGED</v>
      </c>
    </row>
    <row r="25" spans="3:9" x14ac:dyDescent="0.3">
      <c r="C25" s="4" t="s">
        <v>131</v>
      </c>
      <c r="D25" s="4">
        <v>1957</v>
      </c>
      <c r="E25" s="4">
        <v>6</v>
      </c>
      <c r="F25" s="4">
        <v>12</v>
      </c>
      <c r="G25" s="15">
        <f t="shared" si="0"/>
        <v>20983</v>
      </c>
      <c r="H25">
        <f t="shared" ca="1" si="1"/>
        <v>68</v>
      </c>
      <c r="I25" t="str" cm="1">
        <f t="array" aca="1" ref="I25" ca="1">_xlfn.IFS(H25&gt;=80,"OLD MAN",H25&gt;=60,"AGED",H25&gt;=30,"MIDDLE AGE",H25&gt;=18,"YOUNG")</f>
        <v>AGED</v>
      </c>
    </row>
    <row r="26" spans="3:9" x14ac:dyDescent="0.3">
      <c r="C26" s="4" t="s">
        <v>138</v>
      </c>
      <c r="D26" s="4">
        <v>1965</v>
      </c>
      <c r="E26" s="4">
        <v>2</v>
      </c>
      <c r="F26" s="4">
        <v>23</v>
      </c>
      <c r="G26" s="15">
        <f t="shared" si="0"/>
        <v>23796</v>
      </c>
      <c r="H26">
        <f t="shared" ca="1" si="1"/>
        <v>61</v>
      </c>
      <c r="I26" t="str" cm="1">
        <f t="array" aca="1" ref="I26" ca="1">_xlfn.IFS(H26&gt;=80,"OLD MAN",H26&gt;=60,"AGED",H26&gt;=30,"MIDDLE AGE",H26&gt;=18,"YOUNG")</f>
        <v>AGED</v>
      </c>
    </row>
    <row r="27" spans="3:9" x14ac:dyDescent="0.3">
      <c r="C27" s="4" t="s">
        <v>141</v>
      </c>
      <c r="D27" s="4">
        <v>1962</v>
      </c>
      <c r="E27" s="4">
        <v>6</v>
      </c>
      <c r="F27" s="4">
        <v>24</v>
      </c>
      <c r="G27" s="15">
        <f t="shared" si="0"/>
        <v>22821</v>
      </c>
      <c r="H27">
        <f t="shared" ca="1" si="1"/>
        <v>63</v>
      </c>
      <c r="I27" t="str" cm="1">
        <f t="array" aca="1" ref="I27" ca="1">_xlfn.IFS(H27&gt;=80,"OLD MAN",H27&gt;=60,"AGED",H27&gt;=30,"MIDDLE AGE",H27&gt;=18,"YOUNG")</f>
        <v>AGED</v>
      </c>
    </row>
    <row r="28" spans="3:9" x14ac:dyDescent="0.3">
      <c r="C28" s="4" t="s">
        <v>146</v>
      </c>
      <c r="D28" s="4">
        <v>1938</v>
      </c>
      <c r="E28" s="4">
        <v>2</v>
      </c>
      <c r="F28" s="4">
        <v>24</v>
      </c>
      <c r="G28" s="15">
        <f t="shared" si="0"/>
        <v>13935</v>
      </c>
      <c r="H28">
        <f t="shared" ca="1" si="1"/>
        <v>88</v>
      </c>
      <c r="I28" t="str" cm="1">
        <f t="array" aca="1" ref="I28" ca="1">_xlfn.IFS(H28&gt;=80,"OLD MAN",H28&gt;=60,"AGED",H28&gt;=30,"MIDDLE AGE",H28&gt;=18,"YOUNG")</f>
        <v>OLD MAN</v>
      </c>
    </row>
    <row r="29" spans="3:9" x14ac:dyDescent="0.3">
      <c r="C29" s="4" t="s">
        <v>151</v>
      </c>
      <c r="D29" s="4">
        <v>1984</v>
      </c>
      <c r="E29" s="4">
        <v>1</v>
      </c>
      <c r="F29" s="4">
        <v>1</v>
      </c>
      <c r="G29" s="15">
        <f t="shared" si="0"/>
        <v>30682</v>
      </c>
      <c r="H29">
        <f t="shared" ca="1" si="1"/>
        <v>42</v>
      </c>
      <c r="I29" t="str" cm="1">
        <f t="array" aca="1" ref="I29" ca="1">_xlfn.IFS(H29&gt;=80,"OLD MAN",H29&gt;=60,"AGED",H29&gt;=30,"MIDDLE AGE",H29&gt;=18,"YOUNG")</f>
        <v>MIDDLE AGE</v>
      </c>
    </row>
    <row r="30" spans="3:9" x14ac:dyDescent="0.3">
      <c r="C30" s="4" t="s">
        <v>156</v>
      </c>
      <c r="D30" s="4">
        <v>1939</v>
      </c>
      <c r="E30" s="4">
        <v>9</v>
      </c>
      <c r="F30" s="4">
        <v>24</v>
      </c>
      <c r="G30" s="15">
        <f t="shared" si="0"/>
        <v>14512</v>
      </c>
      <c r="H30">
        <f t="shared" ca="1" si="1"/>
        <v>86</v>
      </c>
      <c r="I30" t="str" cm="1">
        <f t="array" aca="1" ref="I30" ca="1">_xlfn.IFS(H30&gt;=80,"OLD MAN",H30&gt;=60,"AGED",H30&gt;=30,"MIDDLE AGE",H30&gt;=18,"YOUNG")</f>
        <v>OLD MAN</v>
      </c>
    </row>
    <row r="31" spans="3:9" x14ac:dyDescent="0.3">
      <c r="C31" s="4" t="s">
        <v>163</v>
      </c>
      <c r="D31" s="4">
        <v>1936</v>
      </c>
      <c r="E31" s="4">
        <v>8</v>
      </c>
      <c r="F31" s="4">
        <v>21</v>
      </c>
      <c r="G31" s="15">
        <f t="shared" si="0"/>
        <v>13383</v>
      </c>
      <c r="H31">
        <f t="shared" ca="1" si="1"/>
        <v>89</v>
      </c>
      <c r="I31" t="str" cm="1">
        <f t="array" aca="1" ref="I31" ca="1">_xlfn.IFS(H31&gt;=80,"OLD MAN",H31&gt;=60,"AGED",H31&gt;=30,"MIDDLE AGE",H31&gt;=18,"YOUNG")</f>
        <v>OLD MAN</v>
      </c>
    </row>
    <row r="32" spans="3:9" x14ac:dyDescent="0.3">
      <c r="C32" s="4" t="s">
        <v>168</v>
      </c>
      <c r="D32" s="4">
        <v>1937</v>
      </c>
      <c r="E32" s="4">
        <v>6</v>
      </c>
      <c r="F32" s="4">
        <v>2</v>
      </c>
      <c r="G32" s="15">
        <f t="shared" si="0"/>
        <v>13668</v>
      </c>
      <c r="H32">
        <f t="shared" ca="1" si="1"/>
        <v>88</v>
      </c>
      <c r="I32" t="str" cm="1">
        <f t="array" aca="1" ref="I32" ca="1">_xlfn.IFS(H32&gt;=80,"OLD MAN",H32&gt;=60,"AGED",H32&gt;=30,"MIDDLE AGE",H32&gt;=18,"YOUNG")</f>
        <v>OLD MAN</v>
      </c>
    </row>
    <row r="33" spans="3:9" x14ac:dyDescent="0.3">
      <c r="C33" s="4" t="s">
        <v>175</v>
      </c>
      <c r="D33" s="4">
        <v>1964</v>
      </c>
      <c r="E33" s="4">
        <v>9</v>
      </c>
      <c r="F33" s="4">
        <v>21</v>
      </c>
      <c r="G33" s="15">
        <f t="shared" si="0"/>
        <v>23641</v>
      </c>
      <c r="H33">
        <f t="shared" ca="1" si="1"/>
        <v>61</v>
      </c>
      <c r="I33" t="str" cm="1">
        <f t="array" aca="1" ref="I33" ca="1">_xlfn.IFS(H33&gt;=80,"OLD MAN",H33&gt;=60,"AGED",H33&gt;=30,"MIDDLE AGE",H33&gt;=18,"YOUNG")</f>
        <v>AGED</v>
      </c>
    </row>
    <row r="34" spans="3:9" x14ac:dyDescent="0.3">
      <c r="C34" s="4" t="s">
        <v>182</v>
      </c>
      <c r="D34" s="4">
        <v>1939</v>
      </c>
      <c r="E34" s="4">
        <v>10</v>
      </c>
      <c r="F34" s="4">
        <v>10</v>
      </c>
      <c r="G34" s="15">
        <f t="shared" si="0"/>
        <v>14528</v>
      </c>
      <c r="H34">
        <f t="shared" ca="1" si="1"/>
        <v>86</v>
      </c>
      <c r="I34" t="str" cm="1">
        <f t="array" aca="1" ref="I34" ca="1">_xlfn.IFS(H34&gt;=80,"OLD MAN",H34&gt;=60,"AGED",H34&gt;=30,"MIDDLE AGE",H34&gt;=18,"YOUNG")</f>
        <v>OLD MAN</v>
      </c>
    </row>
    <row r="35" spans="3:9" x14ac:dyDescent="0.3">
      <c r="C35" s="4" t="s">
        <v>187</v>
      </c>
      <c r="D35" s="4">
        <v>1935</v>
      </c>
      <c r="E35" s="4">
        <v>10</v>
      </c>
      <c r="F35" s="4">
        <v>15</v>
      </c>
      <c r="G35" s="15">
        <f t="shared" si="0"/>
        <v>13072</v>
      </c>
      <c r="H35">
        <f t="shared" ca="1" si="1"/>
        <v>90</v>
      </c>
      <c r="I35" t="str" cm="1">
        <f t="array" aca="1" ref="I35" ca="1">_xlfn.IFS(H35&gt;=80,"OLD MAN",H35&gt;=60,"AGED",H35&gt;=30,"MIDDLE AGE",H35&gt;=18,"YOUNG")</f>
        <v>OLD MAN</v>
      </c>
    </row>
    <row r="36" spans="3:9" x14ac:dyDescent="0.3">
      <c r="C36" s="4" t="s">
        <v>190</v>
      </c>
      <c r="D36" s="4">
        <v>1971</v>
      </c>
      <c r="E36" s="4">
        <v>10</v>
      </c>
      <c r="F36" s="4">
        <v>29</v>
      </c>
      <c r="G36" s="15">
        <f t="shared" si="0"/>
        <v>26235</v>
      </c>
      <c r="H36">
        <f t="shared" ca="1" si="1"/>
        <v>54</v>
      </c>
      <c r="I36" t="str" cm="1">
        <f t="array" aca="1" ref="I36" ca="1">_xlfn.IFS(H36&gt;=80,"OLD MAN",H36&gt;=60,"AGED",H36&gt;=30,"MIDDLE AGE",H36&gt;=18,"YOUNG")</f>
        <v>MIDDLE AGE</v>
      </c>
    </row>
    <row r="37" spans="3:9" x14ac:dyDescent="0.3">
      <c r="C37" s="4" t="s">
        <v>196</v>
      </c>
      <c r="D37" s="4">
        <v>1945</v>
      </c>
      <c r="E37" s="4">
        <v>10</v>
      </c>
      <c r="F37" s="4">
        <v>10</v>
      </c>
      <c r="G37" s="15">
        <f t="shared" si="0"/>
        <v>16720</v>
      </c>
      <c r="H37">
        <f t="shared" ca="1" si="1"/>
        <v>80</v>
      </c>
      <c r="I37" t="str" cm="1">
        <f t="array" aca="1" ref="I37" ca="1">_xlfn.IFS(H37&gt;=80,"OLD MAN",H37&gt;=60,"AGED",H37&gt;=30,"MIDDLE AGE",H37&gt;=18,"YOUNG")</f>
        <v>OLD MAN</v>
      </c>
    </row>
    <row r="38" spans="3:9" x14ac:dyDescent="0.3">
      <c r="C38" s="4" t="s">
        <v>201</v>
      </c>
      <c r="D38" s="4">
        <v>1968</v>
      </c>
      <c r="E38" s="4">
        <v>10</v>
      </c>
      <c r="F38" s="4">
        <v>15</v>
      </c>
      <c r="G38" s="15">
        <f t="shared" si="0"/>
        <v>25126</v>
      </c>
      <c r="H38">
        <f t="shared" ca="1" si="1"/>
        <v>57</v>
      </c>
      <c r="I38" t="str" cm="1">
        <f t="array" aca="1" ref="I38" ca="1">_xlfn.IFS(H38&gt;=80,"OLD MAN",H38&gt;=60,"AGED",H38&gt;=30,"MIDDLE AGE",H38&gt;=18,"YOUNG")</f>
        <v>MIDDLE AGE</v>
      </c>
    </row>
    <row r="39" spans="3:9" x14ac:dyDescent="0.3">
      <c r="C39" s="4" t="s">
        <v>206</v>
      </c>
      <c r="D39" s="4">
        <v>1992</v>
      </c>
      <c r="E39" s="4">
        <v>5</v>
      </c>
      <c r="F39" s="4">
        <v>7</v>
      </c>
      <c r="G39" s="15">
        <f t="shared" si="0"/>
        <v>33731</v>
      </c>
      <c r="H39">
        <f t="shared" ca="1" si="1"/>
        <v>33</v>
      </c>
      <c r="I39" t="str" cm="1">
        <f t="array" aca="1" ref="I39" ca="1">_xlfn.IFS(H39&gt;=80,"OLD MAN",H39&gt;=60,"AGED",H39&gt;=30,"MIDDLE AGE",H39&gt;=18,"YOUNG")</f>
        <v>MIDDLE AGE</v>
      </c>
    </row>
    <row r="40" spans="3:9" x14ac:dyDescent="0.3">
      <c r="C40" s="4" t="s">
        <v>206</v>
      </c>
      <c r="D40" s="4">
        <v>1992</v>
      </c>
      <c r="E40" s="4">
        <v>5</v>
      </c>
      <c r="F40" s="4">
        <v>7</v>
      </c>
      <c r="G40" s="15">
        <f t="shared" si="0"/>
        <v>33731</v>
      </c>
      <c r="H40">
        <f t="shared" ca="1" si="1"/>
        <v>33</v>
      </c>
      <c r="I40" t="str" cm="1">
        <f t="array" aca="1" ref="I40" ca="1">_xlfn.IFS(H40&gt;=80,"OLD MAN",H40&gt;=60,"AGED",H40&gt;=30,"MIDDLE AGE",H40&gt;=18,"YOUNG")</f>
        <v>MIDDLE AGE</v>
      </c>
    </row>
    <row r="41" spans="3:9" x14ac:dyDescent="0.3">
      <c r="C41" s="4" t="s">
        <v>212</v>
      </c>
      <c r="D41" s="4">
        <v>1969</v>
      </c>
      <c r="E41" s="4">
        <v>1</v>
      </c>
      <c r="F41" s="4">
        <v>1</v>
      </c>
      <c r="G41" s="15">
        <f t="shared" si="0"/>
        <v>25204</v>
      </c>
      <c r="H41">
        <f t="shared" ca="1" si="1"/>
        <v>57</v>
      </c>
      <c r="I41" t="str" cm="1">
        <f t="array" aca="1" ref="I41" ca="1">_xlfn.IFS(H41&gt;=80,"OLD MAN",H41&gt;=60,"AGED",H41&gt;=30,"MIDDLE AGE",H41&gt;=18,"YOUNG")</f>
        <v>MIDDLE AGE</v>
      </c>
    </row>
    <row r="42" spans="3:9" x14ac:dyDescent="0.3">
      <c r="C42" s="4" t="s">
        <v>217</v>
      </c>
      <c r="D42" s="4">
        <v>1949</v>
      </c>
      <c r="E42" s="4">
        <v>2</v>
      </c>
      <c r="F42" s="4">
        <v>7</v>
      </c>
      <c r="G42" s="15">
        <f t="shared" si="0"/>
        <v>17936</v>
      </c>
      <c r="H42">
        <f t="shared" ca="1" si="1"/>
        <v>77</v>
      </c>
      <c r="I42" t="str" cm="1">
        <f t="array" aca="1" ref="I42" ca="1">_xlfn.IFS(H42&gt;=80,"OLD MAN",H42&gt;=60,"AGED",H42&gt;=30,"MIDDLE AGE",H42&gt;=18,"YOUNG")</f>
        <v>AGED</v>
      </c>
    </row>
    <row r="43" spans="3:9" x14ac:dyDescent="0.3">
      <c r="C43" s="4" t="s">
        <v>224</v>
      </c>
      <c r="D43" s="4">
        <v>1957</v>
      </c>
      <c r="E43" s="4">
        <v>6</v>
      </c>
      <c r="F43" s="4">
        <v>1</v>
      </c>
      <c r="G43" s="15">
        <f t="shared" si="0"/>
        <v>20972</v>
      </c>
      <c r="H43">
        <f t="shared" ca="1" si="1"/>
        <v>68</v>
      </c>
      <c r="I43" t="str" cm="1">
        <f t="array" aca="1" ref="I43" ca="1">_xlfn.IFS(H43&gt;=80,"OLD MAN",H43&gt;=60,"AGED",H43&gt;=30,"MIDDLE AGE",H43&gt;=18,"YOUNG")</f>
        <v>AGED</v>
      </c>
    </row>
    <row r="44" spans="3:9" x14ac:dyDescent="0.3">
      <c r="C44" s="4" t="s">
        <v>231</v>
      </c>
      <c r="D44" s="4">
        <v>1948</v>
      </c>
      <c r="E44" s="4">
        <v>8</v>
      </c>
      <c r="F44" s="4">
        <v>28</v>
      </c>
      <c r="G44" s="15">
        <f t="shared" si="0"/>
        <v>17773</v>
      </c>
      <c r="H44">
        <f t="shared" ca="1" si="1"/>
        <v>77</v>
      </c>
      <c r="I44" t="str" cm="1">
        <f t="array" aca="1" ref="I44" ca="1">_xlfn.IFS(H44&gt;=80,"OLD MAN",H44&gt;=60,"AGED",H44&gt;=30,"MIDDLE AGE",H44&gt;=18,"YOUNG")</f>
        <v>AGED</v>
      </c>
    </row>
    <row r="45" spans="3:9" x14ac:dyDescent="0.3">
      <c r="C45" s="4" t="s">
        <v>235</v>
      </c>
      <c r="D45" s="4">
        <v>1951</v>
      </c>
      <c r="E45" s="4">
        <v>1</v>
      </c>
      <c r="F45" s="4">
        <v>9</v>
      </c>
      <c r="G45" s="15">
        <f t="shared" si="0"/>
        <v>18637</v>
      </c>
      <c r="H45">
        <f t="shared" ca="1" si="1"/>
        <v>75</v>
      </c>
      <c r="I45" t="str" cm="1">
        <f t="array" aca="1" ref="I45" ca="1">_xlfn.IFS(H45&gt;=80,"OLD MAN",H45&gt;=60,"AGED",H45&gt;=30,"MIDDLE AGE",H45&gt;=18,"YOUNG")</f>
        <v>AGED</v>
      </c>
    </row>
    <row r="46" spans="3:9" x14ac:dyDescent="0.3">
      <c r="C46" s="4" t="s">
        <v>237</v>
      </c>
      <c r="D46" s="4">
        <v>1940</v>
      </c>
      <c r="E46" s="4">
        <v>6</v>
      </c>
      <c r="F46" s="4">
        <v>27</v>
      </c>
      <c r="G46" s="15">
        <f t="shared" si="0"/>
        <v>14789</v>
      </c>
      <c r="H46">
        <f t="shared" ca="1" si="1"/>
        <v>85</v>
      </c>
      <c r="I46" t="str" cm="1">
        <f t="array" aca="1" ref="I46" ca="1">_xlfn.IFS(H46&gt;=80,"OLD MAN",H46&gt;=60,"AGED",H46&gt;=30,"MIDDLE AGE",H46&gt;=18,"YOUNG")</f>
        <v>OLD MAN</v>
      </c>
    </row>
    <row r="47" spans="3:9" x14ac:dyDescent="0.3">
      <c r="C47" s="4" t="s">
        <v>241</v>
      </c>
      <c r="D47" s="4">
        <v>1945</v>
      </c>
      <c r="E47" s="4">
        <v>3</v>
      </c>
      <c r="F47" s="4">
        <v>26</v>
      </c>
      <c r="G47" s="15">
        <f t="shared" si="0"/>
        <v>16522</v>
      </c>
      <c r="H47">
        <f t="shared" ca="1" si="1"/>
        <v>81</v>
      </c>
      <c r="I47" t="str" cm="1">
        <f t="array" aca="1" ref="I47" ca="1">_xlfn.IFS(H47&gt;=80,"OLD MAN",H47&gt;=60,"AGED",H47&gt;=30,"MIDDLE AGE",H47&gt;=18,"YOUNG")</f>
        <v>OLD MAN</v>
      </c>
    </row>
    <row r="48" spans="3:9" x14ac:dyDescent="0.3">
      <c r="C48" s="4" t="s">
        <v>244</v>
      </c>
      <c r="D48" s="4">
        <v>1980</v>
      </c>
      <c r="E48" s="4">
        <v>2</v>
      </c>
      <c r="F48" s="4">
        <v>2</v>
      </c>
      <c r="G48" s="15">
        <f t="shared" si="0"/>
        <v>29253</v>
      </c>
      <c r="H48">
        <f t="shared" ca="1" si="1"/>
        <v>46</v>
      </c>
      <c r="I48" t="str" cm="1">
        <f t="array" aca="1" ref="I48" ca="1">_xlfn.IFS(H48&gt;=80,"OLD MAN",H48&gt;=60,"AGED",H48&gt;=30,"MIDDLE AGE",H48&gt;=18,"YOUNG")</f>
        <v>MIDDLE AGE</v>
      </c>
    </row>
    <row r="49" spans="3:9" x14ac:dyDescent="0.3">
      <c r="C49" s="4" t="s">
        <v>250</v>
      </c>
      <c r="D49" s="4">
        <v>1935</v>
      </c>
      <c r="E49" s="4">
        <v>4</v>
      </c>
      <c r="F49" s="4">
        <v>20</v>
      </c>
      <c r="G49" s="15">
        <f t="shared" si="0"/>
        <v>12894</v>
      </c>
      <c r="H49">
        <f t="shared" ca="1" si="1"/>
        <v>91</v>
      </c>
      <c r="I49" t="str" cm="1">
        <f t="array" aca="1" ref="I49" ca="1">_xlfn.IFS(H49&gt;=80,"OLD MAN",H49&gt;=60,"AGED",H49&gt;=30,"MIDDLE AGE",H49&gt;=18,"YOUNG")</f>
        <v>OLD MAN</v>
      </c>
    </row>
    <row r="50" spans="3:9" x14ac:dyDescent="0.3">
      <c r="C50" s="4" t="s">
        <v>255</v>
      </c>
      <c r="D50" s="4">
        <v>1958</v>
      </c>
      <c r="E50" s="4">
        <v>7</v>
      </c>
      <c r="F50" s="4">
        <v>17</v>
      </c>
      <c r="G50" s="15">
        <f t="shared" si="0"/>
        <v>21383</v>
      </c>
      <c r="H50">
        <f t="shared" ca="1" si="1"/>
        <v>67</v>
      </c>
      <c r="I50" t="str" cm="1">
        <f t="array" aca="1" ref="I50" ca="1">_xlfn.IFS(H50&gt;=80,"OLD MAN",H50&gt;=60,"AGED",H50&gt;=30,"MIDDLE AGE",H50&gt;=18,"YOUNG")</f>
        <v>AGED</v>
      </c>
    </row>
    <row r="51" spans="3:9" x14ac:dyDescent="0.3">
      <c r="C51" s="4" t="s">
        <v>259</v>
      </c>
      <c r="D51" s="4">
        <v>1938</v>
      </c>
      <c r="E51" s="4">
        <v>4</v>
      </c>
      <c r="F51" s="4">
        <v>25</v>
      </c>
      <c r="G51" s="15">
        <f t="shared" si="0"/>
        <v>13995</v>
      </c>
      <c r="H51">
        <f t="shared" ca="1" si="1"/>
        <v>87</v>
      </c>
      <c r="I51" t="str" cm="1">
        <f t="array" aca="1" ref="I51" ca="1">_xlfn.IFS(H51&gt;=80,"OLD MAN",H51&gt;=60,"AGED",H51&gt;=30,"MIDDLE AGE",H51&gt;=18,"YOUNG")</f>
        <v>OLD MAN</v>
      </c>
    </row>
    <row r="52" spans="3:9" x14ac:dyDescent="0.3">
      <c r="C52" s="4" t="s">
        <v>262</v>
      </c>
      <c r="D52" s="4">
        <v>1947</v>
      </c>
      <c r="E52" s="4">
        <v>2</v>
      </c>
      <c r="F52" s="4">
        <v>14</v>
      </c>
      <c r="G52" s="15">
        <f t="shared" si="0"/>
        <v>17212</v>
      </c>
      <c r="H52">
        <f t="shared" ca="1" si="1"/>
        <v>79</v>
      </c>
      <c r="I52" t="str" cm="1">
        <f t="array" aca="1" ref="I52" ca="1">_xlfn.IFS(H52&gt;=80,"OLD MAN",H52&gt;=60,"AGED",H52&gt;=30,"MIDDLE AGE",H52&gt;=18,"YOUNG")</f>
        <v>AGED</v>
      </c>
    </row>
    <row r="53" spans="3:9" x14ac:dyDescent="0.3">
      <c r="C53" s="4" t="s">
        <v>266</v>
      </c>
      <c r="D53" s="4">
        <v>1962</v>
      </c>
      <c r="E53" s="4">
        <v>4</v>
      </c>
      <c r="F53" s="4">
        <v>28</v>
      </c>
      <c r="G53" s="15">
        <f t="shared" si="0"/>
        <v>22764</v>
      </c>
      <c r="H53">
        <f t="shared" ca="1" si="1"/>
        <v>63</v>
      </c>
      <c r="I53" t="str" cm="1">
        <f t="array" aca="1" ref="I53" ca="1">_xlfn.IFS(H53&gt;=80,"OLD MAN",H53&gt;=60,"AGED",H53&gt;=30,"MIDDLE AGE",H53&gt;=18,"YOUNG")</f>
        <v>AGED</v>
      </c>
    </row>
    <row r="54" spans="3:9" x14ac:dyDescent="0.3">
      <c r="C54" s="4" t="s">
        <v>272</v>
      </c>
      <c r="D54" s="4">
        <v>1954</v>
      </c>
      <c r="E54" s="4">
        <v>2</v>
      </c>
      <c r="F54" s="4">
        <v>9</v>
      </c>
      <c r="G54" s="15">
        <f t="shared" si="0"/>
        <v>19764</v>
      </c>
      <c r="H54">
        <f t="shared" ca="1" si="1"/>
        <v>72</v>
      </c>
      <c r="I54" t="str" cm="1">
        <f t="array" aca="1" ref="I54" ca="1">_xlfn.IFS(H54&gt;=80,"OLD MAN",H54&gt;=60,"AGED",H54&gt;=30,"MIDDLE AGE",H54&gt;=18,"YOUNG")</f>
        <v>AGED</v>
      </c>
    </row>
    <row r="55" spans="3:9" x14ac:dyDescent="0.3">
      <c r="C55" s="4" t="s">
        <v>279</v>
      </c>
      <c r="D55" s="4">
        <v>1971</v>
      </c>
      <c r="E55" s="4">
        <v>10</v>
      </c>
      <c r="F55" s="4">
        <v>1</v>
      </c>
      <c r="G55" s="15">
        <f t="shared" si="0"/>
        <v>26207</v>
      </c>
      <c r="H55">
        <f t="shared" ca="1" si="1"/>
        <v>54</v>
      </c>
      <c r="I55" t="str" cm="1">
        <f t="array" aca="1" ref="I55" ca="1">_xlfn.IFS(H55&gt;=80,"OLD MAN",H55&gt;=60,"AGED",H55&gt;=30,"MIDDLE AGE",H55&gt;=18,"YOUNG")</f>
        <v>MIDDLE AGE</v>
      </c>
    </row>
    <row r="56" spans="3:9" x14ac:dyDescent="0.3">
      <c r="C56" s="4" t="s">
        <v>283</v>
      </c>
      <c r="D56" s="4">
        <v>1953</v>
      </c>
      <c r="E56" s="4">
        <v>10</v>
      </c>
      <c r="F56" s="4">
        <v>26</v>
      </c>
      <c r="G56" s="15">
        <f t="shared" si="0"/>
        <v>19658</v>
      </c>
      <c r="H56">
        <f t="shared" ca="1" si="1"/>
        <v>72</v>
      </c>
      <c r="I56" t="str" cm="1">
        <f t="array" aca="1" ref="I56" ca="1">_xlfn.IFS(H56&gt;=80,"OLD MAN",H56&gt;=60,"AGED",H56&gt;=30,"MIDDLE AGE",H56&gt;=18,"YOUNG")</f>
        <v>AGED</v>
      </c>
    </row>
    <row r="57" spans="3:9" x14ac:dyDescent="0.3">
      <c r="C57" s="4" t="s">
        <v>286</v>
      </c>
      <c r="D57" s="4">
        <v>1945</v>
      </c>
      <c r="E57" s="4">
        <v>7</v>
      </c>
      <c r="F57" s="4">
        <v>18</v>
      </c>
      <c r="G57" s="15">
        <f t="shared" si="0"/>
        <v>16636</v>
      </c>
      <c r="H57">
        <f t="shared" ca="1" si="1"/>
        <v>80</v>
      </c>
      <c r="I57" t="str" cm="1">
        <f t="array" aca="1" ref="I57" ca="1">_xlfn.IFS(H57&gt;=80,"OLD MAN",H57&gt;=60,"AGED",H57&gt;=30,"MIDDLE AGE",H57&gt;=18,"YOUNG")</f>
        <v>OLD MAN</v>
      </c>
    </row>
    <row r="58" spans="3:9" x14ac:dyDescent="0.3">
      <c r="C58" s="4" t="s">
        <v>292</v>
      </c>
      <c r="D58" s="4">
        <v>1948</v>
      </c>
      <c r="E58" s="4">
        <v>4</v>
      </c>
      <c r="F58" s="4">
        <v>17</v>
      </c>
      <c r="G58" s="15">
        <f t="shared" si="0"/>
        <v>17640</v>
      </c>
      <c r="H58">
        <f t="shared" ca="1" si="1"/>
        <v>78</v>
      </c>
      <c r="I58" t="str" cm="1">
        <f t="array" aca="1" ref="I58" ca="1">_xlfn.IFS(H58&gt;=80,"OLD MAN",H58&gt;=60,"AGED",H58&gt;=30,"MIDDLE AGE",H58&gt;=18,"YOUNG")</f>
        <v>AGED</v>
      </c>
    </row>
    <row r="59" spans="3:9" x14ac:dyDescent="0.3">
      <c r="C59" s="4" t="s">
        <v>299</v>
      </c>
      <c r="D59" s="4">
        <v>1944</v>
      </c>
      <c r="E59" s="4">
        <v>9</v>
      </c>
      <c r="F59" s="4">
        <v>30</v>
      </c>
      <c r="G59" s="15">
        <f t="shared" si="0"/>
        <v>16345</v>
      </c>
      <c r="H59">
        <f t="shared" ca="1" si="1"/>
        <v>81</v>
      </c>
      <c r="I59" t="str" cm="1">
        <f t="array" aca="1" ref="I59" ca="1">_xlfn.IFS(H59&gt;=80,"OLD MAN",H59&gt;=60,"AGED",H59&gt;=30,"MIDDLE AGE",H59&gt;=18,"YOUNG")</f>
        <v>OLD MAN</v>
      </c>
    </row>
    <row r="60" spans="3:9" x14ac:dyDescent="0.3">
      <c r="C60" s="4" t="s">
        <v>304</v>
      </c>
      <c r="D60" s="4">
        <v>1972</v>
      </c>
      <c r="E60" s="4">
        <v>3</v>
      </c>
      <c r="F60" s="4">
        <v>8</v>
      </c>
      <c r="G60" s="15">
        <f t="shared" si="0"/>
        <v>26366</v>
      </c>
      <c r="H60">
        <f t="shared" ca="1" si="1"/>
        <v>54</v>
      </c>
      <c r="I60" t="str" cm="1">
        <f t="array" aca="1" ref="I60" ca="1">_xlfn.IFS(H60&gt;=80,"OLD MAN",H60&gt;=60,"AGED",H60&gt;=30,"MIDDLE AGE",H60&gt;=18,"YOUNG")</f>
        <v>MIDDLE AGE</v>
      </c>
    </row>
    <row r="61" spans="3:9" x14ac:dyDescent="0.3">
      <c r="C61" s="4" t="s">
        <v>311</v>
      </c>
      <c r="D61" s="4">
        <v>1966</v>
      </c>
      <c r="E61" s="4">
        <v>5</v>
      </c>
      <c r="F61" s="4">
        <v>9</v>
      </c>
      <c r="G61" s="15">
        <f t="shared" si="0"/>
        <v>24236</v>
      </c>
      <c r="H61">
        <f t="shared" ca="1" si="1"/>
        <v>59</v>
      </c>
      <c r="I61" t="str" cm="1">
        <f t="array" aca="1" ref="I61" ca="1">_xlfn.IFS(H61&gt;=80,"OLD MAN",H61&gt;=60,"AGED",H61&gt;=30,"MIDDLE AGE",H61&gt;=18,"YOUNG")</f>
        <v>MIDDLE AGE</v>
      </c>
    </row>
    <row r="62" spans="3:9" x14ac:dyDescent="0.3">
      <c r="C62" s="4" t="s">
        <v>316</v>
      </c>
      <c r="D62" s="4">
        <v>1970</v>
      </c>
      <c r="E62" s="4">
        <v>4</v>
      </c>
      <c r="F62" s="4">
        <v>7</v>
      </c>
      <c r="G62" s="15">
        <f t="shared" si="0"/>
        <v>25665</v>
      </c>
      <c r="H62">
        <f t="shared" ca="1" si="1"/>
        <v>56</v>
      </c>
      <c r="I62" t="str" cm="1">
        <f t="array" aca="1" ref="I62" ca="1">_xlfn.IFS(H62&gt;=80,"OLD MAN",H62&gt;=60,"AGED",H62&gt;=30,"MIDDLE AGE",H62&gt;=18,"YOUNG")</f>
        <v>MIDDLE AGE</v>
      </c>
    </row>
    <row r="63" spans="3:9" x14ac:dyDescent="0.3">
      <c r="C63" s="4" t="s">
        <v>320</v>
      </c>
      <c r="D63" s="4">
        <v>1941</v>
      </c>
      <c r="E63" s="4">
        <v>1</v>
      </c>
      <c r="F63" s="4">
        <v>1</v>
      </c>
      <c r="G63" s="15">
        <f t="shared" si="0"/>
        <v>14977</v>
      </c>
      <c r="H63">
        <f t="shared" ca="1" si="1"/>
        <v>85</v>
      </c>
      <c r="I63" t="str" cm="1">
        <f t="array" aca="1" ref="I63" ca="1">_xlfn.IFS(H63&gt;=80,"OLD MAN",H63&gt;=60,"AGED",H63&gt;=30,"MIDDLE AGE",H63&gt;=18,"YOUNG")</f>
        <v>OLD MAN</v>
      </c>
    </row>
    <row r="64" spans="3:9" x14ac:dyDescent="0.3">
      <c r="C64" s="4" t="s">
        <v>325</v>
      </c>
      <c r="D64" s="4">
        <v>1961</v>
      </c>
      <c r="E64" s="4">
        <v>1</v>
      </c>
      <c r="F64" s="4">
        <v>3</v>
      </c>
      <c r="G64" s="15">
        <f t="shared" si="0"/>
        <v>22284</v>
      </c>
      <c r="H64">
        <f t="shared" ca="1" si="1"/>
        <v>65</v>
      </c>
      <c r="I64" t="str" cm="1">
        <f t="array" aca="1" ref="I64" ca="1">_xlfn.IFS(H64&gt;=80,"OLD MAN",H64&gt;=60,"AGED",H64&gt;=30,"MIDDLE AGE",H64&gt;=18,"YOUNG")</f>
        <v>AGED</v>
      </c>
    </row>
    <row r="65" spans="3:9" x14ac:dyDescent="0.3">
      <c r="C65" s="4" t="s">
        <v>332</v>
      </c>
      <c r="D65" s="4">
        <v>1964</v>
      </c>
      <c r="E65" s="4">
        <v>9</v>
      </c>
      <c r="F65" s="4">
        <v>10</v>
      </c>
      <c r="G65" s="15">
        <f t="shared" si="0"/>
        <v>23630</v>
      </c>
      <c r="H65">
        <f t="shared" ca="1" si="1"/>
        <v>61</v>
      </c>
      <c r="I65" t="str" cm="1">
        <f t="array" aca="1" ref="I65" ca="1">_xlfn.IFS(H65&gt;=80,"OLD MAN",H65&gt;=60,"AGED",H65&gt;=30,"MIDDLE AGE",H65&gt;=18,"YOUNG")</f>
        <v>AGED</v>
      </c>
    </row>
    <row r="66" spans="3:9" x14ac:dyDescent="0.3">
      <c r="C66" s="4" t="s">
        <v>334</v>
      </c>
      <c r="D66" s="4">
        <v>1942</v>
      </c>
      <c r="E66" s="4">
        <v>8</v>
      </c>
      <c r="F66" s="4">
        <v>11</v>
      </c>
      <c r="G66" s="15">
        <f t="shared" si="0"/>
        <v>15564</v>
      </c>
      <c r="H66">
        <f t="shared" ca="1" si="1"/>
        <v>83</v>
      </c>
      <c r="I66" t="str" cm="1">
        <f t="array" aca="1" ref="I66" ca="1">_xlfn.IFS(H66&gt;=80,"OLD MAN",H66&gt;=60,"AGED",H66&gt;=30,"MIDDLE AGE",H66&gt;=18,"YOUNG")</f>
        <v>OLD MAN</v>
      </c>
    </row>
    <row r="67" spans="3:9" x14ac:dyDescent="0.3">
      <c r="C67" s="4" t="s">
        <v>339</v>
      </c>
      <c r="D67" s="4">
        <v>1943</v>
      </c>
      <c r="E67" s="4">
        <v>1</v>
      </c>
      <c r="F67" s="4">
        <v>1</v>
      </c>
      <c r="G67" s="15">
        <f t="shared" si="0"/>
        <v>15707</v>
      </c>
      <c r="H67">
        <f t="shared" ca="1" si="1"/>
        <v>83</v>
      </c>
      <c r="I67" t="str" cm="1">
        <f t="array" aca="1" ref="I67" ca="1">_xlfn.IFS(H67&gt;=80,"OLD MAN",H67&gt;=60,"AGED",H67&gt;=30,"MIDDLE AGE",H67&gt;=18,"YOUNG")</f>
        <v>OLD MAN</v>
      </c>
    </row>
    <row r="68" spans="3:9" x14ac:dyDescent="0.3">
      <c r="C68" s="4" t="s">
        <v>345</v>
      </c>
      <c r="D68" s="4">
        <v>1939</v>
      </c>
      <c r="E68" s="4">
        <v>10</v>
      </c>
      <c r="F68" s="4">
        <v>2</v>
      </c>
      <c r="G68" s="15">
        <f t="shared" ref="G68:G131" si="2">DATE(D68,E68,F68)</f>
        <v>14520</v>
      </c>
      <c r="H68">
        <f t="shared" ref="H68:H131" ca="1" si="3">DATEDIF(G68,TODAY(),"Y")</f>
        <v>86</v>
      </c>
      <c r="I68" t="str" cm="1">
        <f t="array" aca="1" ref="I68" ca="1">_xlfn.IFS(H68&gt;=80,"OLD MAN",H68&gt;=60,"AGED",H68&gt;=30,"MIDDLE AGE",H68&gt;=18,"YOUNG")</f>
        <v>OLD MAN</v>
      </c>
    </row>
    <row r="69" spans="3:9" x14ac:dyDescent="0.3">
      <c r="C69" s="4" t="s">
        <v>346</v>
      </c>
      <c r="D69" s="4">
        <v>1953</v>
      </c>
      <c r="E69" s="4">
        <v>1</v>
      </c>
      <c r="F69" s="4">
        <v>1</v>
      </c>
      <c r="G69" s="15">
        <f t="shared" si="2"/>
        <v>19360</v>
      </c>
      <c r="H69">
        <f t="shared" ca="1" si="3"/>
        <v>73</v>
      </c>
      <c r="I69" t="str" cm="1">
        <f t="array" aca="1" ref="I69" ca="1">_xlfn.IFS(H69&gt;=80,"OLD MAN",H69&gt;=60,"AGED",H69&gt;=30,"MIDDLE AGE",H69&gt;=18,"YOUNG")</f>
        <v>AGED</v>
      </c>
    </row>
    <row r="70" spans="3:9" x14ac:dyDescent="0.3">
      <c r="C70" s="4" t="s">
        <v>351</v>
      </c>
      <c r="D70" s="4">
        <v>1941</v>
      </c>
      <c r="E70" s="4">
        <v>5</v>
      </c>
      <c r="F70" s="4">
        <v>11</v>
      </c>
      <c r="G70" s="15">
        <f t="shared" si="2"/>
        <v>15107</v>
      </c>
      <c r="H70">
        <f t="shared" ca="1" si="3"/>
        <v>84</v>
      </c>
      <c r="I70" t="str" cm="1">
        <f t="array" aca="1" ref="I70" ca="1">_xlfn.IFS(H70&gt;=80,"OLD MAN",H70&gt;=60,"AGED",H70&gt;=30,"MIDDLE AGE",H70&gt;=18,"YOUNG")</f>
        <v>OLD MAN</v>
      </c>
    </row>
    <row r="71" spans="3:9" x14ac:dyDescent="0.3">
      <c r="C71" s="4" t="s">
        <v>356</v>
      </c>
      <c r="D71" s="4">
        <v>1957</v>
      </c>
      <c r="E71" s="4">
        <v>8</v>
      </c>
      <c r="F71" s="4">
        <v>11</v>
      </c>
      <c r="G71" s="15">
        <f t="shared" si="2"/>
        <v>21043</v>
      </c>
      <c r="H71">
        <f t="shared" ca="1" si="3"/>
        <v>68</v>
      </c>
      <c r="I71" t="str" cm="1">
        <f t="array" aca="1" ref="I71" ca="1">_xlfn.IFS(H71&gt;=80,"OLD MAN",H71&gt;=60,"AGED",H71&gt;=30,"MIDDLE AGE",H71&gt;=18,"YOUNG")</f>
        <v>AGED</v>
      </c>
    </row>
    <row r="72" spans="3:9" x14ac:dyDescent="0.3">
      <c r="C72" s="4" t="s">
        <v>360</v>
      </c>
      <c r="D72" s="4">
        <v>1956</v>
      </c>
      <c r="E72" s="4">
        <v>5</v>
      </c>
      <c r="F72" s="4">
        <v>7</v>
      </c>
      <c r="G72" s="15">
        <f t="shared" si="2"/>
        <v>20582</v>
      </c>
      <c r="H72">
        <f t="shared" ca="1" si="3"/>
        <v>69</v>
      </c>
      <c r="I72" t="str" cm="1">
        <f t="array" aca="1" ref="I72" ca="1">_xlfn.IFS(H72&gt;=80,"OLD MAN",H72&gt;=60,"AGED",H72&gt;=30,"MIDDLE AGE",H72&gt;=18,"YOUNG")</f>
        <v>AGED</v>
      </c>
    </row>
    <row r="73" spans="3:9" x14ac:dyDescent="0.3">
      <c r="C73" s="4" t="s">
        <v>363</v>
      </c>
      <c r="D73" s="4">
        <v>1970</v>
      </c>
      <c r="E73" s="4">
        <v>9</v>
      </c>
      <c r="F73" s="4">
        <v>18</v>
      </c>
      <c r="G73" s="15">
        <f t="shared" si="2"/>
        <v>25829</v>
      </c>
      <c r="H73">
        <f t="shared" ca="1" si="3"/>
        <v>55</v>
      </c>
      <c r="I73" t="str" cm="1">
        <f t="array" aca="1" ref="I73" ca="1">_xlfn.IFS(H73&gt;=80,"OLD MAN",H73&gt;=60,"AGED",H73&gt;=30,"MIDDLE AGE",H73&gt;=18,"YOUNG")</f>
        <v>MIDDLE AGE</v>
      </c>
    </row>
    <row r="74" spans="3:9" x14ac:dyDescent="0.3">
      <c r="C74" s="4" t="s">
        <v>368</v>
      </c>
      <c r="D74" s="4">
        <v>1961</v>
      </c>
      <c r="E74" s="4">
        <v>12</v>
      </c>
      <c r="F74" s="4">
        <v>19</v>
      </c>
      <c r="G74" s="15">
        <f t="shared" si="2"/>
        <v>22634</v>
      </c>
      <c r="H74">
        <f t="shared" ca="1" si="3"/>
        <v>64</v>
      </c>
      <c r="I74" t="str" cm="1">
        <f t="array" aca="1" ref="I74" ca="1">_xlfn.IFS(H74&gt;=80,"OLD MAN",H74&gt;=60,"AGED",H74&gt;=30,"MIDDLE AGE",H74&gt;=18,"YOUNG")</f>
        <v>AGED</v>
      </c>
    </row>
    <row r="75" spans="3:9" x14ac:dyDescent="0.3">
      <c r="C75" s="4" t="s">
        <v>373</v>
      </c>
      <c r="D75" s="4">
        <v>1955</v>
      </c>
      <c r="E75" s="4">
        <v>8</v>
      </c>
      <c r="F75" s="4">
        <v>11</v>
      </c>
      <c r="G75" s="15">
        <f t="shared" si="2"/>
        <v>20312</v>
      </c>
      <c r="H75">
        <f t="shared" ca="1" si="3"/>
        <v>70</v>
      </c>
      <c r="I75" t="str" cm="1">
        <f t="array" aca="1" ref="I75" ca="1">_xlfn.IFS(H75&gt;=80,"OLD MAN",H75&gt;=60,"AGED",H75&gt;=30,"MIDDLE AGE",H75&gt;=18,"YOUNG")</f>
        <v>AGED</v>
      </c>
    </row>
    <row r="76" spans="3:9" x14ac:dyDescent="0.3">
      <c r="C76" s="4" t="s">
        <v>377</v>
      </c>
      <c r="D76" s="4">
        <v>1986</v>
      </c>
      <c r="E76" s="4">
        <v>9</v>
      </c>
      <c r="F76" s="4">
        <v>19</v>
      </c>
      <c r="G76" s="15">
        <f t="shared" si="2"/>
        <v>31674</v>
      </c>
      <c r="H76">
        <f t="shared" ca="1" si="3"/>
        <v>39</v>
      </c>
      <c r="I76" t="str" cm="1">
        <f t="array" aca="1" ref="I76" ca="1">_xlfn.IFS(H76&gt;=80,"OLD MAN",H76&gt;=60,"AGED",H76&gt;=30,"MIDDLE AGE",H76&gt;=18,"YOUNG")</f>
        <v>MIDDLE AGE</v>
      </c>
    </row>
    <row r="77" spans="3:9" x14ac:dyDescent="0.3">
      <c r="C77" s="4" t="s">
        <v>381</v>
      </c>
      <c r="D77" s="4">
        <v>1970</v>
      </c>
      <c r="E77" s="4">
        <v>10</v>
      </c>
      <c r="F77" s="4">
        <v>1</v>
      </c>
      <c r="G77" s="15">
        <f t="shared" si="2"/>
        <v>25842</v>
      </c>
      <c r="H77">
        <f t="shared" ca="1" si="3"/>
        <v>55</v>
      </c>
      <c r="I77" t="str" cm="1">
        <f t="array" aca="1" ref="I77" ca="1">_xlfn.IFS(H77&gt;=80,"OLD MAN",H77&gt;=60,"AGED",H77&gt;=30,"MIDDLE AGE",H77&gt;=18,"YOUNG")</f>
        <v>MIDDLE AGE</v>
      </c>
    </row>
    <row r="78" spans="3:9" x14ac:dyDescent="0.3">
      <c r="C78" s="4" t="s">
        <v>385</v>
      </c>
      <c r="D78" s="4">
        <v>1963</v>
      </c>
      <c r="E78" s="4">
        <v>2</v>
      </c>
      <c r="F78" s="4">
        <v>17</v>
      </c>
      <c r="G78" s="15">
        <f t="shared" si="2"/>
        <v>23059</v>
      </c>
      <c r="H78">
        <f t="shared" ca="1" si="3"/>
        <v>63</v>
      </c>
      <c r="I78" t="str" cm="1">
        <f t="array" aca="1" ref="I78" ca="1">_xlfn.IFS(H78&gt;=80,"OLD MAN",H78&gt;=60,"AGED",H78&gt;=30,"MIDDLE AGE",H78&gt;=18,"YOUNG")</f>
        <v>AGED</v>
      </c>
    </row>
    <row r="79" spans="3:9" x14ac:dyDescent="0.3">
      <c r="C79" s="4" t="s">
        <v>388</v>
      </c>
      <c r="D79" s="4">
        <v>1933</v>
      </c>
      <c r="E79" s="4">
        <v>3</v>
      </c>
      <c r="F79" s="4">
        <v>19</v>
      </c>
      <c r="G79" s="15">
        <f t="shared" si="2"/>
        <v>12132</v>
      </c>
      <c r="H79">
        <f t="shared" ca="1" si="3"/>
        <v>93</v>
      </c>
      <c r="I79" t="str" cm="1">
        <f t="array" aca="1" ref="I79" ca="1">_xlfn.IFS(H79&gt;=80,"OLD MAN",H79&gt;=60,"AGED",H79&gt;=30,"MIDDLE AGE",H79&gt;=18,"YOUNG")</f>
        <v>OLD MAN</v>
      </c>
    </row>
    <row r="80" spans="3:9" x14ac:dyDescent="0.3">
      <c r="C80" s="4" t="s">
        <v>392</v>
      </c>
      <c r="D80" s="4">
        <v>1945</v>
      </c>
      <c r="E80" s="4">
        <v>6</v>
      </c>
      <c r="F80" s="4">
        <v>10</v>
      </c>
      <c r="G80" s="15">
        <f t="shared" si="2"/>
        <v>16598</v>
      </c>
      <c r="H80">
        <f t="shared" ca="1" si="3"/>
        <v>80</v>
      </c>
      <c r="I80" t="str" cm="1">
        <f t="array" aca="1" ref="I80" ca="1">_xlfn.IFS(H80&gt;=80,"OLD MAN",H80&gt;=60,"AGED",H80&gt;=30,"MIDDLE AGE",H80&gt;=18,"YOUNG")</f>
        <v>OLD MAN</v>
      </c>
    </row>
    <row r="81" spans="3:9" x14ac:dyDescent="0.3">
      <c r="C81" s="4" t="s">
        <v>397</v>
      </c>
      <c r="D81" s="4">
        <v>1965</v>
      </c>
      <c r="E81" s="4">
        <v>9</v>
      </c>
      <c r="F81" s="4">
        <v>26</v>
      </c>
      <c r="G81" s="15">
        <f t="shared" si="2"/>
        <v>24011</v>
      </c>
      <c r="H81">
        <f t="shared" ca="1" si="3"/>
        <v>60</v>
      </c>
      <c r="I81" t="str" cm="1">
        <f t="array" aca="1" ref="I81" ca="1">_xlfn.IFS(H81&gt;=80,"OLD MAN",H81&gt;=60,"AGED",H81&gt;=30,"MIDDLE AGE",H81&gt;=18,"YOUNG")</f>
        <v>AGED</v>
      </c>
    </row>
    <row r="82" spans="3:9" x14ac:dyDescent="0.3">
      <c r="C82" s="4" t="s">
        <v>401</v>
      </c>
      <c r="D82" s="4">
        <v>1950</v>
      </c>
      <c r="E82" s="4">
        <v>9</v>
      </c>
      <c r="F82" s="4">
        <v>1</v>
      </c>
      <c r="G82" s="15">
        <f t="shared" si="2"/>
        <v>18507</v>
      </c>
      <c r="H82">
        <f t="shared" ca="1" si="3"/>
        <v>75</v>
      </c>
      <c r="I82" t="str" cm="1">
        <f t="array" aca="1" ref="I82" ca="1">_xlfn.IFS(H82&gt;=80,"OLD MAN",H82&gt;=60,"AGED",H82&gt;=30,"MIDDLE AGE",H82&gt;=18,"YOUNG")</f>
        <v>AGED</v>
      </c>
    </row>
    <row r="83" spans="3:9" x14ac:dyDescent="0.3">
      <c r="C83" s="4" t="s">
        <v>405</v>
      </c>
      <c r="D83" s="4">
        <v>1938</v>
      </c>
      <c r="E83" s="4">
        <v>8</v>
      </c>
      <c r="F83" s="4">
        <v>12</v>
      </c>
      <c r="G83" s="15">
        <f t="shared" si="2"/>
        <v>14104</v>
      </c>
      <c r="H83">
        <f t="shared" ca="1" si="3"/>
        <v>87</v>
      </c>
      <c r="I83" t="str" cm="1">
        <f t="array" aca="1" ref="I83" ca="1">_xlfn.IFS(H83&gt;=80,"OLD MAN",H83&gt;=60,"AGED",H83&gt;=30,"MIDDLE AGE",H83&gt;=18,"YOUNG")</f>
        <v>OLD MAN</v>
      </c>
    </row>
    <row r="84" spans="3:9" x14ac:dyDescent="0.3">
      <c r="C84" s="4" t="s">
        <v>409</v>
      </c>
      <c r="D84" s="4">
        <v>1961</v>
      </c>
      <c r="E84" s="4">
        <v>11</v>
      </c>
      <c r="F84" s="4">
        <v>18</v>
      </c>
      <c r="G84" s="15">
        <f t="shared" si="2"/>
        <v>22603</v>
      </c>
      <c r="H84">
        <f t="shared" ca="1" si="3"/>
        <v>64</v>
      </c>
      <c r="I84" t="str" cm="1">
        <f t="array" aca="1" ref="I84" ca="1">_xlfn.IFS(H84&gt;=80,"OLD MAN",H84&gt;=60,"AGED",H84&gt;=30,"MIDDLE AGE",H84&gt;=18,"YOUNG")</f>
        <v>AGED</v>
      </c>
    </row>
    <row r="85" spans="3:9" x14ac:dyDescent="0.3">
      <c r="C85" s="4" t="s">
        <v>412</v>
      </c>
      <c r="D85" s="4">
        <v>1949</v>
      </c>
      <c r="E85" s="4">
        <v>8</v>
      </c>
      <c r="F85" s="4">
        <v>8</v>
      </c>
      <c r="G85" s="15">
        <f t="shared" si="2"/>
        <v>18118</v>
      </c>
      <c r="H85">
        <f t="shared" ca="1" si="3"/>
        <v>76</v>
      </c>
      <c r="I85" t="str" cm="1">
        <f t="array" aca="1" ref="I85" ca="1">_xlfn.IFS(H85&gt;=80,"OLD MAN",H85&gt;=60,"AGED",H85&gt;=30,"MIDDLE AGE",H85&gt;=18,"YOUNG")</f>
        <v>AGED</v>
      </c>
    </row>
    <row r="86" spans="3:9" x14ac:dyDescent="0.3">
      <c r="C86" s="4" t="s">
        <v>416</v>
      </c>
      <c r="D86" s="4">
        <v>1963</v>
      </c>
      <c r="E86" s="4">
        <v>6</v>
      </c>
      <c r="F86" s="4">
        <v>1</v>
      </c>
      <c r="G86" s="15">
        <f t="shared" si="2"/>
        <v>23163</v>
      </c>
      <c r="H86">
        <f t="shared" ca="1" si="3"/>
        <v>62</v>
      </c>
      <c r="I86" t="str" cm="1">
        <f t="array" aca="1" ref="I86" ca="1">_xlfn.IFS(H86&gt;=80,"OLD MAN",H86&gt;=60,"AGED",H86&gt;=30,"MIDDLE AGE",H86&gt;=18,"YOUNG")</f>
        <v>AGED</v>
      </c>
    </row>
    <row r="87" spans="3:9" x14ac:dyDescent="0.3">
      <c r="C87" s="4" t="s">
        <v>420</v>
      </c>
      <c r="D87" s="4">
        <v>1968</v>
      </c>
      <c r="E87" s="4">
        <v>3</v>
      </c>
      <c r="F87" s="4">
        <v>1</v>
      </c>
      <c r="G87" s="15">
        <f t="shared" si="2"/>
        <v>24898</v>
      </c>
      <c r="H87">
        <f t="shared" ca="1" si="3"/>
        <v>58</v>
      </c>
      <c r="I87" t="str" cm="1">
        <f t="array" aca="1" ref="I87" ca="1">_xlfn.IFS(H87&gt;=80,"OLD MAN",H87&gt;=60,"AGED",H87&gt;=30,"MIDDLE AGE",H87&gt;=18,"YOUNG")</f>
        <v>MIDDLE AGE</v>
      </c>
    </row>
    <row r="88" spans="3:9" x14ac:dyDescent="0.3">
      <c r="C88" s="4" t="s">
        <v>423</v>
      </c>
      <c r="D88" s="4">
        <v>1965</v>
      </c>
      <c r="E88" s="4">
        <v>4</v>
      </c>
      <c r="F88" s="4">
        <v>17</v>
      </c>
      <c r="G88" s="15">
        <f t="shared" si="2"/>
        <v>23849</v>
      </c>
      <c r="H88">
        <f t="shared" ca="1" si="3"/>
        <v>61</v>
      </c>
      <c r="I88" t="str" cm="1">
        <f t="array" aca="1" ref="I88" ca="1">_xlfn.IFS(H88&gt;=80,"OLD MAN",H88&gt;=60,"AGED",H88&gt;=30,"MIDDLE AGE",H88&gt;=18,"YOUNG")</f>
        <v>AGED</v>
      </c>
    </row>
    <row r="89" spans="3:9" x14ac:dyDescent="0.3">
      <c r="C89" s="4" t="s">
        <v>428</v>
      </c>
      <c r="D89" s="4">
        <v>1966</v>
      </c>
      <c r="E89" s="4">
        <v>2</v>
      </c>
      <c r="F89" s="4">
        <v>15</v>
      </c>
      <c r="G89" s="15">
        <f t="shared" si="2"/>
        <v>24153</v>
      </c>
      <c r="H89">
        <f t="shared" ca="1" si="3"/>
        <v>60</v>
      </c>
      <c r="I89" t="str" cm="1">
        <f t="array" aca="1" ref="I89" ca="1">_xlfn.IFS(H89&gt;=80,"OLD MAN",H89&gt;=60,"AGED",H89&gt;=30,"MIDDLE AGE",H89&gt;=18,"YOUNG")</f>
        <v>AGED</v>
      </c>
    </row>
    <row r="90" spans="3:9" x14ac:dyDescent="0.3">
      <c r="C90" s="4" t="s">
        <v>431</v>
      </c>
      <c r="D90" s="4">
        <v>1945</v>
      </c>
      <c r="E90" s="4">
        <v>12</v>
      </c>
      <c r="F90" s="4">
        <v>11</v>
      </c>
      <c r="G90" s="15">
        <f t="shared" si="2"/>
        <v>16782</v>
      </c>
      <c r="H90">
        <f t="shared" ca="1" si="3"/>
        <v>80</v>
      </c>
      <c r="I90" t="str" cm="1">
        <f t="array" aca="1" ref="I90" ca="1">_xlfn.IFS(H90&gt;=80,"OLD MAN",H90&gt;=60,"AGED",H90&gt;=30,"MIDDLE AGE",H90&gt;=18,"YOUNG")</f>
        <v>OLD MAN</v>
      </c>
    </row>
    <row r="91" spans="3:9" x14ac:dyDescent="0.3">
      <c r="C91" s="4" t="s">
        <v>436</v>
      </c>
      <c r="D91" s="4">
        <v>1957</v>
      </c>
      <c r="E91" s="4">
        <v>9</v>
      </c>
      <c r="F91" s="4">
        <v>11</v>
      </c>
      <c r="G91" s="15">
        <f t="shared" si="2"/>
        <v>21074</v>
      </c>
      <c r="H91">
        <f t="shared" ca="1" si="3"/>
        <v>68</v>
      </c>
      <c r="I91" t="str" cm="1">
        <f t="array" aca="1" ref="I91" ca="1">_xlfn.IFS(H91&gt;=80,"OLD MAN",H91&gt;=60,"AGED",H91&gt;=30,"MIDDLE AGE",H91&gt;=18,"YOUNG")</f>
        <v>AGED</v>
      </c>
    </row>
    <row r="92" spans="3:9" x14ac:dyDescent="0.3">
      <c r="C92" s="4" t="s">
        <v>438</v>
      </c>
      <c r="D92" s="4">
        <v>1952</v>
      </c>
      <c r="E92" s="4">
        <v>11</v>
      </c>
      <c r="F92" s="4">
        <v>9</v>
      </c>
      <c r="G92" s="15">
        <f t="shared" si="2"/>
        <v>19307</v>
      </c>
      <c r="H92">
        <f t="shared" ca="1" si="3"/>
        <v>73</v>
      </c>
      <c r="I92" t="str" cm="1">
        <f t="array" aca="1" ref="I92" ca="1">_xlfn.IFS(H92&gt;=80,"OLD MAN",H92&gt;=60,"AGED",H92&gt;=30,"MIDDLE AGE",H92&gt;=18,"YOUNG")</f>
        <v>AGED</v>
      </c>
    </row>
    <row r="93" spans="3:9" x14ac:dyDescent="0.3">
      <c r="C93" s="4" t="s">
        <v>442</v>
      </c>
      <c r="D93" s="4">
        <v>1962</v>
      </c>
      <c r="E93" s="4">
        <v>1</v>
      </c>
      <c r="F93" s="4">
        <v>17</v>
      </c>
      <c r="G93" s="15">
        <f t="shared" si="2"/>
        <v>22663</v>
      </c>
      <c r="H93">
        <f t="shared" ca="1" si="3"/>
        <v>64</v>
      </c>
      <c r="I93" t="str" cm="1">
        <f t="array" aca="1" ref="I93" ca="1">_xlfn.IFS(H93&gt;=80,"OLD MAN",H93&gt;=60,"AGED",H93&gt;=30,"MIDDLE AGE",H93&gt;=18,"YOUNG")</f>
        <v>AGED</v>
      </c>
    </row>
    <row r="94" spans="3:9" x14ac:dyDescent="0.3">
      <c r="C94" s="4" t="s">
        <v>447</v>
      </c>
      <c r="D94" s="4">
        <v>1950</v>
      </c>
      <c r="E94" s="4">
        <v>6</v>
      </c>
      <c r="F94" s="4">
        <v>15</v>
      </c>
      <c r="G94" s="15">
        <f t="shared" si="2"/>
        <v>18429</v>
      </c>
      <c r="H94">
        <f t="shared" ca="1" si="3"/>
        <v>75</v>
      </c>
      <c r="I94" t="str" cm="1">
        <f t="array" aca="1" ref="I94" ca="1">_xlfn.IFS(H94&gt;=80,"OLD MAN",H94&gt;=60,"AGED",H94&gt;=30,"MIDDLE AGE",H94&gt;=18,"YOUNG")</f>
        <v>AGED</v>
      </c>
    </row>
    <row r="95" spans="3:9" x14ac:dyDescent="0.3">
      <c r="C95" s="4" t="s">
        <v>451</v>
      </c>
      <c r="D95" s="4">
        <v>1956</v>
      </c>
      <c r="E95" s="4">
        <v>6</v>
      </c>
      <c r="F95" s="4">
        <v>11</v>
      </c>
      <c r="G95" s="15">
        <f t="shared" si="2"/>
        <v>20617</v>
      </c>
      <c r="H95">
        <f t="shared" ca="1" si="3"/>
        <v>69</v>
      </c>
      <c r="I95" t="str" cm="1">
        <f t="array" aca="1" ref="I95" ca="1">_xlfn.IFS(H95&gt;=80,"OLD MAN",H95&gt;=60,"AGED",H95&gt;=30,"MIDDLE AGE",H95&gt;=18,"YOUNG")</f>
        <v>AGED</v>
      </c>
    </row>
    <row r="96" spans="3:9" x14ac:dyDescent="0.3">
      <c r="C96" s="4" t="s">
        <v>453</v>
      </c>
      <c r="D96" s="4">
        <v>1936</v>
      </c>
      <c r="E96" s="4">
        <v>2</v>
      </c>
      <c r="F96" s="4">
        <v>16</v>
      </c>
      <c r="G96" s="15">
        <f t="shared" si="2"/>
        <v>13196</v>
      </c>
      <c r="H96">
        <f t="shared" ca="1" si="3"/>
        <v>90</v>
      </c>
      <c r="I96" t="str" cm="1">
        <f t="array" aca="1" ref="I96" ca="1">_xlfn.IFS(H96&gt;=80,"OLD MAN",H96&gt;=60,"AGED",H96&gt;=30,"MIDDLE AGE",H96&gt;=18,"YOUNG")</f>
        <v>OLD MAN</v>
      </c>
    </row>
    <row r="97" spans="3:9" x14ac:dyDescent="0.3">
      <c r="C97" s="4" t="s">
        <v>457</v>
      </c>
      <c r="D97" s="4">
        <v>1950</v>
      </c>
      <c r="E97" s="4">
        <v>3</v>
      </c>
      <c r="F97" s="4">
        <v>20</v>
      </c>
      <c r="G97" s="15">
        <f t="shared" si="2"/>
        <v>18342</v>
      </c>
      <c r="H97">
        <f t="shared" ca="1" si="3"/>
        <v>76</v>
      </c>
      <c r="I97" t="str" cm="1">
        <f t="array" aca="1" ref="I97" ca="1">_xlfn.IFS(H97&gt;=80,"OLD MAN",H97&gt;=60,"AGED",H97&gt;=30,"MIDDLE AGE",H97&gt;=18,"YOUNG")</f>
        <v>AGED</v>
      </c>
    </row>
    <row r="98" spans="3:9" x14ac:dyDescent="0.3">
      <c r="C98" s="4" t="s">
        <v>462</v>
      </c>
      <c r="D98" s="4">
        <v>1932</v>
      </c>
      <c r="E98" s="4">
        <v>5</v>
      </c>
      <c r="F98" s="4">
        <v>11</v>
      </c>
      <c r="G98" s="15">
        <f t="shared" si="2"/>
        <v>11820</v>
      </c>
      <c r="H98">
        <f t="shared" ca="1" si="3"/>
        <v>93</v>
      </c>
      <c r="I98" t="str" cm="1">
        <f t="array" aca="1" ref="I98" ca="1">_xlfn.IFS(H98&gt;=80,"OLD MAN",H98&gt;=60,"AGED",H98&gt;=30,"MIDDLE AGE",H98&gt;=18,"YOUNG")</f>
        <v>OLD MAN</v>
      </c>
    </row>
    <row r="99" spans="3:9" x14ac:dyDescent="0.3">
      <c r="C99" s="4" t="s">
        <v>467</v>
      </c>
      <c r="D99" s="4">
        <v>1940</v>
      </c>
      <c r="E99" s="4">
        <v>1</v>
      </c>
      <c r="F99" s="4">
        <v>22</v>
      </c>
      <c r="G99" s="15">
        <f t="shared" si="2"/>
        <v>14632</v>
      </c>
      <c r="H99">
        <f t="shared" ca="1" si="3"/>
        <v>86</v>
      </c>
      <c r="I99" t="str" cm="1">
        <f t="array" aca="1" ref="I99" ca="1">_xlfn.IFS(H99&gt;=80,"OLD MAN",H99&gt;=60,"AGED",H99&gt;=30,"MIDDLE AGE",H99&gt;=18,"YOUNG")</f>
        <v>OLD MAN</v>
      </c>
    </row>
    <row r="100" spans="3:9" x14ac:dyDescent="0.3">
      <c r="C100" s="4" t="s">
        <v>471</v>
      </c>
      <c r="D100" s="4">
        <v>1931</v>
      </c>
      <c r="E100" s="4">
        <v>3</v>
      </c>
      <c r="F100" s="4">
        <v>11</v>
      </c>
      <c r="G100" s="15">
        <f t="shared" si="2"/>
        <v>11393</v>
      </c>
      <c r="H100">
        <f t="shared" ca="1" si="3"/>
        <v>95</v>
      </c>
      <c r="I100" t="str" cm="1">
        <f t="array" aca="1" ref="I100" ca="1">_xlfn.IFS(H100&gt;=80,"OLD MAN",H100&gt;=60,"AGED",H100&gt;=30,"MIDDLE AGE",H100&gt;=18,"YOUNG")</f>
        <v>OLD MAN</v>
      </c>
    </row>
    <row r="101" spans="3:9" x14ac:dyDescent="0.3">
      <c r="C101" s="4" t="s">
        <v>475</v>
      </c>
      <c r="D101" s="4">
        <v>1953</v>
      </c>
      <c r="E101" s="4">
        <v>1</v>
      </c>
      <c r="F101" s="4">
        <v>1</v>
      </c>
      <c r="G101" s="15">
        <f t="shared" si="2"/>
        <v>19360</v>
      </c>
      <c r="H101">
        <f t="shared" ca="1" si="3"/>
        <v>73</v>
      </c>
      <c r="I101" t="str" cm="1">
        <f t="array" aca="1" ref="I101" ca="1">_xlfn.IFS(H101&gt;=80,"OLD MAN",H101&gt;=60,"AGED",H101&gt;=30,"MIDDLE AGE",H101&gt;=18,"YOUNG")</f>
        <v>AGED</v>
      </c>
    </row>
    <row r="102" spans="3:9" x14ac:dyDescent="0.3">
      <c r="C102" s="4" t="s">
        <v>480</v>
      </c>
      <c r="D102" s="4">
        <v>1951</v>
      </c>
      <c r="E102" s="4">
        <v>1</v>
      </c>
      <c r="F102" s="4">
        <v>1</v>
      </c>
      <c r="G102" s="15">
        <f t="shared" si="2"/>
        <v>18629</v>
      </c>
      <c r="H102">
        <f t="shared" ca="1" si="3"/>
        <v>75</v>
      </c>
      <c r="I102" t="str" cm="1">
        <f t="array" aca="1" ref="I102" ca="1">_xlfn.IFS(H102&gt;=80,"OLD MAN",H102&gt;=60,"AGED",H102&gt;=30,"MIDDLE AGE",H102&gt;=18,"YOUNG")</f>
        <v>AGED</v>
      </c>
    </row>
    <row r="103" spans="3:9" x14ac:dyDescent="0.3">
      <c r="C103" s="4" t="s">
        <v>485</v>
      </c>
      <c r="D103" s="4">
        <v>1967</v>
      </c>
      <c r="E103" s="4">
        <v>7</v>
      </c>
      <c r="F103" s="4">
        <v>4</v>
      </c>
      <c r="G103" s="15">
        <f t="shared" si="2"/>
        <v>24657</v>
      </c>
      <c r="H103">
        <f t="shared" ca="1" si="3"/>
        <v>58</v>
      </c>
      <c r="I103" t="str" cm="1">
        <f t="array" aca="1" ref="I103" ca="1">_xlfn.IFS(H103&gt;=80,"OLD MAN",H103&gt;=60,"AGED",H103&gt;=30,"MIDDLE AGE",H103&gt;=18,"YOUNG")</f>
        <v>MIDDLE AGE</v>
      </c>
    </row>
    <row r="104" spans="3:9" x14ac:dyDescent="0.3">
      <c r="C104" s="4" t="s">
        <v>485</v>
      </c>
      <c r="D104" s="4">
        <v>1967</v>
      </c>
      <c r="E104" s="4">
        <v>7</v>
      </c>
      <c r="F104" s="4">
        <v>4</v>
      </c>
      <c r="G104" s="15">
        <f t="shared" si="2"/>
        <v>24657</v>
      </c>
      <c r="H104">
        <f t="shared" ca="1" si="3"/>
        <v>58</v>
      </c>
      <c r="I104" t="str" cm="1">
        <f t="array" aca="1" ref="I104" ca="1">_xlfn.IFS(H104&gt;=80,"OLD MAN",H104&gt;=60,"AGED",H104&gt;=30,"MIDDLE AGE",H104&gt;=18,"YOUNG")</f>
        <v>MIDDLE AGE</v>
      </c>
    </row>
    <row r="105" spans="3:9" x14ac:dyDescent="0.3">
      <c r="C105" s="4" t="s">
        <v>492</v>
      </c>
      <c r="D105" s="4">
        <v>1951</v>
      </c>
      <c r="E105" s="4">
        <v>1</v>
      </c>
      <c r="F105" s="4">
        <v>1</v>
      </c>
      <c r="G105" s="15">
        <f t="shared" si="2"/>
        <v>18629</v>
      </c>
      <c r="H105">
        <f t="shared" ca="1" si="3"/>
        <v>75</v>
      </c>
      <c r="I105" t="str" cm="1">
        <f t="array" aca="1" ref="I105" ca="1">_xlfn.IFS(H105&gt;=80,"OLD MAN",H105&gt;=60,"AGED",H105&gt;=30,"MIDDLE AGE",H105&gt;=18,"YOUNG")</f>
        <v>AGED</v>
      </c>
    </row>
    <row r="106" spans="3:9" x14ac:dyDescent="0.3">
      <c r="C106" s="4" t="s">
        <v>495</v>
      </c>
      <c r="D106" s="4">
        <v>1947</v>
      </c>
      <c r="E106" s="4">
        <v>10</v>
      </c>
      <c r="F106" s="4">
        <v>4</v>
      </c>
      <c r="G106" s="15">
        <f t="shared" si="2"/>
        <v>17444</v>
      </c>
      <c r="H106">
        <f t="shared" ca="1" si="3"/>
        <v>78</v>
      </c>
      <c r="I106" t="str" cm="1">
        <f t="array" aca="1" ref="I106" ca="1">_xlfn.IFS(H106&gt;=80,"OLD MAN",H106&gt;=60,"AGED",H106&gt;=30,"MIDDLE AGE",H106&gt;=18,"YOUNG")</f>
        <v>AGED</v>
      </c>
    </row>
    <row r="107" spans="3:9" x14ac:dyDescent="0.3">
      <c r="C107" s="4" t="s">
        <v>501</v>
      </c>
      <c r="D107" s="4">
        <v>1955</v>
      </c>
      <c r="E107" s="4">
        <v>4</v>
      </c>
      <c r="F107" s="4">
        <v>27</v>
      </c>
      <c r="G107" s="15">
        <f t="shared" si="2"/>
        <v>20206</v>
      </c>
      <c r="H107">
        <f t="shared" ca="1" si="3"/>
        <v>70</v>
      </c>
      <c r="I107" t="str" cm="1">
        <f t="array" aca="1" ref="I107" ca="1">_xlfn.IFS(H107&gt;=80,"OLD MAN",H107&gt;=60,"AGED",H107&gt;=30,"MIDDLE AGE",H107&gt;=18,"YOUNG")</f>
        <v>AGED</v>
      </c>
    </row>
    <row r="108" spans="3:9" x14ac:dyDescent="0.3">
      <c r="C108" s="4" t="s">
        <v>504</v>
      </c>
      <c r="D108" s="4">
        <v>1968</v>
      </c>
      <c r="E108" s="4">
        <v>3</v>
      </c>
      <c r="F108" s="4">
        <v>18</v>
      </c>
      <c r="G108" s="15">
        <f t="shared" si="2"/>
        <v>24915</v>
      </c>
      <c r="H108">
        <f t="shared" ca="1" si="3"/>
        <v>58</v>
      </c>
      <c r="I108" t="str" cm="1">
        <f t="array" aca="1" ref="I108" ca="1">_xlfn.IFS(H108&gt;=80,"OLD MAN",H108&gt;=60,"AGED",H108&gt;=30,"MIDDLE AGE",H108&gt;=18,"YOUNG")</f>
        <v>MIDDLE AGE</v>
      </c>
    </row>
    <row r="109" spans="3:9" x14ac:dyDescent="0.3">
      <c r="C109" s="4" t="s">
        <v>506</v>
      </c>
      <c r="D109" s="4">
        <v>1956</v>
      </c>
      <c r="E109" s="4">
        <v>1</v>
      </c>
      <c r="F109" s="4">
        <v>19</v>
      </c>
      <c r="G109" s="15">
        <f t="shared" si="2"/>
        <v>20473</v>
      </c>
      <c r="H109">
        <f t="shared" ca="1" si="3"/>
        <v>70</v>
      </c>
      <c r="I109" t="str" cm="1">
        <f t="array" aca="1" ref="I109" ca="1">_xlfn.IFS(H109&gt;=80,"OLD MAN",H109&gt;=60,"AGED",H109&gt;=30,"MIDDLE AGE",H109&gt;=18,"YOUNG")</f>
        <v>AGED</v>
      </c>
    </row>
    <row r="110" spans="3:9" x14ac:dyDescent="0.3">
      <c r="C110" s="4" t="s">
        <v>510</v>
      </c>
      <c r="D110" s="4">
        <v>1939</v>
      </c>
      <c r="E110" s="4">
        <v>8</v>
      </c>
      <c r="F110" s="4">
        <v>26</v>
      </c>
      <c r="G110" s="15">
        <f t="shared" si="2"/>
        <v>14483</v>
      </c>
      <c r="H110">
        <f t="shared" ca="1" si="3"/>
        <v>86</v>
      </c>
      <c r="I110" t="str" cm="1">
        <f t="array" aca="1" ref="I110" ca="1">_xlfn.IFS(H110&gt;=80,"OLD MAN",H110&gt;=60,"AGED",H110&gt;=30,"MIDDLE AGE",H110&gt;=18,"YOUNG")</f>
        <v>OLD MAN</v>
      </c>
    </row>
    <row r="111" spans="3:9" x14ac:dyDescent="0.3">
      <c r="C111" s="4" t="s">
        <v>515</v>
      </c>
      <c r="D111" s="4">
        <v>1955</v>
      </c>
      <c r="E111" s="4">
        <v>10</v>
      </c>
      <c r="F111" s="4">
        <v>1</v>
      </c>
      <c r="G111" s="15">
        <f t="shared" si="2"/>
        <v>20363</v>
      </c>
      <c r="H111">
        <f t="shared" ca="1" si="3"/>
        <v>70</v>
      </c>
      <c r="I111" t="str" cm="1">
        <f t="array" aca="1" ref="I111" ca="1">_xlfn.IFS(H111&gt;=80,"OLD MAN",H111&gt;=60,"AGED",H111&gt;=30,"MIDDLE AGE",H111&gt;=18,"YOUNG")</f>
        <v>AGED</v>
      </c>
    </row>
    <row r="112" spans="3:9" x14ac:dyDescent="0.3">
      <c r="C112" s="4" t="s">
        <v>519</v>
      </c>
      <c r="D112" s="4">
        <v>1978</v>
      </c>
      <c r="E112" s="4">
        <v>3</v>
      </c>
      <c r="F112" s="4">
        <v>10</v>
      </c>
      <c r="G112" s="15">
        <f t="shared" si="2"/>
        <v>28559</v>
      </c>
      <c r="H112">
        <f t="shared" ca="1" si="3"/>
        <v>48</v>
      </c>
      <c r="I112" t="str" cm="1">
        <f t="array" aca="1" ref="I112" ca="1">_xlfn.IFS(H112&gt;=80,"OLD MAN",H112&gt;=60,"AGED",H112&gt;=30,"MIDDLE AGE",H112&gt;=18,"YOUNG")</f>
        <v>MIDDLE AGE</v>
      </c>
    </row>
    <row r="113" spans="3:9" x14ac:dyDescent="0.3">
      <c r="C113" s="4" t="s">
        <v>524</v>
      </c>
      <c r="D113" s="4">
        <v>1955</v>
      </c>
      <c r="E113" s="4">
        <v>1</v>
      </c>
      <c r="F113" s="4">
        <v>1</v>
      </c>
      <c r="G113" s="15">
        <f t="shared" si="2"/>
        <v>20090</v>
      </c>
      <c r="H113">
        <f t="shared" ca="1" si="3"/>
        <v>71</v>
      </c>
      <c r="I113" t="str" cm="1">
        <f t="array" aca="1" ref="I113" ca="1">_xlfn.IFS(H113&gt;=80,"OLD MAN",H113&gt;=60,"AGED",H113&gt;=30,"MIDDLE AGE",H113&gt;=18,"YOUNG")</f>
        <v>AGED</v>
      </c>
    </row>
    <row r="114" spans="3:9" x14ac:dyDescent="0.3">
      <c r="C114" s="4" t="s">
        <v>528</v>
      </c>
      <c r="D114" s="4">
        <v>1967</v>
      </c>
      <c r="E114" s="4">
        <v>1</v>
      </c>
      <c r="F114" s="4">
        <v>1</v>
      </c>
      <c r="G114" s="15">
        <f t="shared" si="2"/>
        <v>24473</v>
      </c>
      <c r="H114">
        <f t="shared" ca="1" si="3"/>
        <v>59</v>
      </c>
      <c r="I114" t="str" cm="1">
        <f t="array" aca="1" ref="I114" ca="1">_xlfn.IFS(H114&gt;=80,"OLD MAN",H114&gt;=60,"AGED",H114&gt;=30,"MIDDLE AGE",H114&gt;=18,"YOUNG")</f>
        <v>MIDDLE AGE</v>
      </c>
    </row>
    <row r="115" spans="3:9" x14ac:dyDescent="0.3">
      <c r="C115" s="4" t="s">
        <v>530</v>
      </c>
      <c r="D115" s="4">
        <v>1939</v>
      </c>
      <c r="E115" s="4">
        <v>4</v>
      </c>
      <c r="F115" s="4">
        <v>19</v>
      </c>
      <c r="G115" s="15">
        <f t="shared" si="2"/>
        <v>14354</v>
      </c>
      <c r="H115">
        <f t="shared" ca="1" si="3"/>
        <v>87</v>
      </c>
      <c r="I115" t="str" cm="1">
        <f t="array" aca="1" ref="I115" ca="1">_xlfn.IFS(H115&gt;=80,"OLD MAN",H115&gt;=60,"AGED",H115&gt;=30,"MIDDLE AGE",H115&gt;=18,"YOUNG")</f>
        <v>OLD MAN</v>
      </c>
    </row>
    <row r="116" spans="3:9" x14ac:dyDescent="0.3">
      <c r="C116" s="4" t="s">
        <v>536</v>
      </c>
      <c r="D116" s="4">
        <v>1941</v>
      </c>
      <c r="E116" s="4">
        <v>11</v>
      </c>
      <c r="F116" s="4">
        <v>13</v>
      </c>
      <c r="G116" s="15">
        <f t="shared" si="2"/>
        <v>15293</v>
      </c>
      <c r="H116">
        <f t="shared" ca="1" si="3"/>
        <v>84</v>
      </c>
      <c r="I116" t="str" cm="1">
        <f t="array" aca="1" ref="I116" ca="1">_xlfn.IFS(H116&gt;=80,"OLD MAN",H116&gt;=60,"AGED",H116&gt;=30,"MIDDLE AGE",H116&gt;=18,"YOUNG")</f>
        <v>OLD MAN</v>
      </c>
    </row>
    <row r="117" spans="3:9" x14ac:dyDescent="0.3">
      <c r="C117" s="4" t="s">
        <v>538</v>
      </c>
      <c r="D117" s="4">
        <v>1944</v>
      </c>
      <c r="E117" s="4">
        <v>5</v>
      </c>
      <c r="F117" s="4">
        <v>2</v>
      </c>
      <c r="G117" s="15">
        <f t="shared" si="2"/>
        <v>16194</v>
      </c>
      <c r="H117">
        <f t="shared" ca="1" si="3"/>
        <v>81</v>
      </c>
      <c r="I117" t="str" cm="1">
        <f t="array" aca="1" ref="I117" ca="1">_xlfn.IFS(H117&gt;=80,"OLD MAN",H117&gt;=60,"AGED",H117&gt;=30,"MIDDLE AGE",H117&gt;=18,"YOUNG")</f>
        <v>OLD MAN</v>
      </c>
    </row>
    <row r="118" spans="3:9" x14ac:dyDescent="0.3">
      <c r="C118" s="4" t="s">
        <v>542</v>
      </c>
      <c r="D118" s="4">
        <v>1954</v>
      </c>
      <c r="E118" s="4">
        <v>6</v>
      </c>
      <c r="F118" s="4">
        <v>30</v>
      </c>
      <c r="G118" s="15">
        <f t="shared" si="2"/>
        <v>19905</v>
      </c>
      <c r="H118">
        <f t="shared" ca="1" si="3"/>
        <v>71</v>
      </c>
      <c r="I118" t="str" cm="1">
        <f t="array" aca="1" ref="I118" ca="1">_xlfn.IFS(H118&gt;=80,"OLD MAN",H118&gt;=60,"AGED",H118&gt;=30,"MIDDLE AGE",H118&gt;=18,"YOUNG")</f>
        <v>AGED</v>
      </c>
    </row>
    <row r="119" spans="3:9" x14ac:dyDescent="0.3">
      <c r="C119" s="4" t="s">
        <v>546</v>
      </c>
      <c r="D119" s="4">
        <v>1962</v>
      </c>
      <c r="E119" s="4">
        <v>5</v>
      </c>
      <c r="F119" s="4">
        <v>22</v>
      </c>
      <c r="G119" s="15">
        <f t="shared" si="2"/>
        <v>22788</v>
      </c>
      <c r="H119">
        <f t="shared" ca="1" si="3"/>
        <v>63</v>
      </c>
      <c r="I119" t="str" cm="1">
        <f t="array" aca="1" ref="I119" ca="1">_xlfn.IFS(H119&gt;=80,"OLD MAN",H119&gt;=60,"AGED",H119&gt;=30,"MIDDLE AGE",H119&gt;=18,"YOUNG")</f>
        <v>AGED</v>
      </c>
    </row>
    <row r="120" spans="3:9" x14ac:dyDescent="0.3">
      <c r="C120" s="4" t="s">
        <v>550</v>
      </c>
      <c r="D120" s="4">
        <v>1964</v>
      </c>
      <c r="E120" s="4">
        <v>3</v>
      </c>
      <c r="F120" s="4">
        <v>1</v>
      </c>
      <c r="G120" s="15">
        <f t="shared" si="2"/>
        <v>23437</v>
      </c>
      <c r="H120">
        <f t="shared" ca="1" si="3"/>
        <v>62</v>
      </c>
      <c r="I120" t="str" cm="1">
        <f t="array" aca="1" ref="I120" ca="1">_xlfn.IFS(H120&gt;=80,"OLD MAN",H120&gt;=60,"AGED",H120&gt;=30,"MIDDLE AGE",H120&gt;=18,"YOUNG")</f>
        <v>AGED</v>
      </c>
    </row>
    <row r="121" spans="3:9" x14ac:dyDescent="0.3">
      <c r="C121" s="4" t="s">
        <v>553</v>
      </c>
      <c r="D121" s="4">
        <v>1927</v>
      </c>
      <c r="E121" s="4">
        <v>6</v>
      </c>
      <c r="F121" s="4">
        <v>27</v>
      </c>
      <c r="G121" s="15">
        <f t="shared" si="2"/>
        <v>10040</v>
      </c>
      <c r="H121">
        <f t="shared" ca="1" si="3"/>
        <v>98</v>
      </c>
      <c r="I121" t="str" cm="1">
        <f t="array" aca="1" ref="I121" ca="1">_xlfn.IFS(H121&gt;=80,"OLD MAN",H121&gt;=60,"AGED",H121&gt;=30,"MIDDLE AGE",H121&gt;=18,"YOUNG")</f>
        <v>OLD MAN</v>
      </c>
    </row>
    <row r="122" spans="3:9" x14ac:dyDescent="0.3">
      <c r="C122" s="4" t="s">
        <v>559</v>
      </c>
      <c r="D122" s="4">
        <v>1967</v>
      </c>
      <c r="E122" s="4">
        <v>6</v>
      </c>
      <c r="F122" s="4">
        <v>14</v>
      </c>
      <c r="G122" s="15">
        <f t="shared" si="2"/>
        <v>24637</v>
      </c>
      <c r="H122">
        <f t="shared" ca="1" si="3"/>
        <v>58</v>
      </c>
      <c r="I122" t="str" cm="1">
        <f t="array" aca="1" ref="I122" ca="1">_xlfn.IFS(H122&gt;=80,"OLD MAN",H122&gt;=60,"AGED",H122&gt;=30,"MIDDLE AGE",H122&gt;=18,"YOUNG")</f>
        <v>MIDDLE AGE</v>
      </c>
    </row>
    <row r="123" spans="3:9" x14ac:dyDescent="0.3">
      <c r="C123" s="4" t="s">
        <v>563</v>
      </c>
      <c r="D123" s="4">
        <v>1957</v>
      </c>
      <c r="E123" s="4">
        <v>4</v>
      </c>
      <c r="F123" s="4">
        <v>10</v>
      </c>
      <c r="G123" s="15">
        <f t="shared" si="2"/>
        <v>20920</v>
      </c>
      <c r="H123">
        <f t="shared" ca="1" si="3"/>
        <v>69</v>
      </c>
      <c r="I123" t="str" cm="1">
        <f t="array" aca="1" ref="I123" ca="1">_xlfn.IFS(H123&gt;=80,"OLD MAN",H123&gt;=60,"AGED",H123&gt;=30,"MIDDLE AGE",H123&gt;=18,"YOUNG")</f>
        <v>AGED</v>
      </c>
    </row>
    <row r="124" spans="3:9" x14ac:dyDescent="0.3">
      <c r="C124" s="4" t="s">
        <v>570</v>
      </c>
      <c r="D124" s="4">
        <v>1955</v>
      </c>
      <c r="E124" s="4">
        <v>10</v>
      </c>
      <c r="F124" s="4">
        <v>2</v>
      </c>
      <c r="G124" s="15">
        <f t="shared" si="2"/>
        <v>20364</v>
      </c>
      <c r="H124">
        <f t="shared" ca="1" si="3"/>
        <v>70</v>
      </c>
      <c r="I124" t="str" cm="1">
        <f t="array" aca="1" ref="I124" ca="1">_xlfn.IFS(H124&gt;=80,"OLD MAN",H124&gt;=60,"AGED",H124&gt;=30,"MIDDLE AGE",H124&gt;=18,"YOUNG")</f>
        <v>AGED</v>
      </c>
    </row>
    <row r="125" spans="3:9" x14ac:dyDescent="0.3">
      <c r="C125" s="4" t="s">
        <v>573</v>
      </c>
      <c r="D125" s="4">
        <v>1965</v>
      </c>
      <c r="E125" s="4">
        <v>9</v>
      </c>
      <c r="F125" s="4">
        <v>1</v>
      </c>
      <c r="G125" s="15">
        <f t="shared" si="2"/>
        <v>23986</v>
      </c>
      <c r="H125">
        <f t="shared" ca="1" si="3"/>
        <v>60</v>
      </c>
      <c r="I125" t="str" cm="1">
        <f t="array" aca="1" ref="I125" ca="1">_xlfn.IFS(H125&gt;=80,"OLD MAN",H125&gt;=60,"AGED",H125&gt;=30,"MIDDLE AGE",H125&gt;=18,"YOUNG")</f>
        <v>AGED</v>
      </c>
    </row>
    <row r="126" spans="3:9" x14ac:dyDescent="0.3">
      <c r="C126" s="4" t="s">
        <v>577</v>
      </c>
      <c r="D126" s="4">
        <v>1945</v>
      </c>
      <c r="E126" s="4">
        <v>2</v>
      </c>
      <c r="F126" s="4">
        <v>1</v>
      </c>
      <c r="G126" s="15">
        <f t="shared" si="2"/>
        <v>16469</v>
      </c>
      <c r="H126">
        <f t="shared" ca="1" si="3"/>
        <v>81</v>
      </c>
      <c r="I126" t="str" cm="1">
        <f t="array" aca="1" ref="I126" ca="1">_xlfn.IFS(H126&gt;=80,"OLD MAN",H126&gt;=60,"AGED",H126&gt;=30,"MIDDLE AGE",H126&gt;=18,"YOUNG")</f>
        <v>OLD MAN</v>
      </c>
    </row>
    <row r="127" spans="3:9" x14ac:dyDescent="0.3">
      <c r="C127" s="4" t="s">
        <v>580</v>
      </c>
      <c r="D127" s="4">
        <v>1947</v>
      </c>
      <c r="E127" s="4">
        <v>3</v>
      </c>
      <c r="F127" s="4">
        <v>2</v>
      </c>
      <c r="G127" s="15">
        <f t="shared" si="2"/>
        <v>17228</v>
      </c>
      <c r="H127">
        <f t="shared" ca="1" si="3"/>
        <v>79</v>
      </c>
      <c r="I127" t="str" cm="1">
        <f t="array" aca="1" ref="I127" ca="1">_xlfn.IFS(H127&gt;=80,"OLD MAN",H127&gt;=60,"AGED",H127&gt;=30,"MIDDLE AGE",H127&gt;=18,"YOUNG")</f>
        <v>AGED</v>
      </c>
    </row>
    <row r="128" spans="3:9" x14ac:dyDescent="0.3">
      <c r="C128" s="4" t="s">
        <v>585</v>
      </c>
      <c r="D128" s="4">
        <v>1976</v>
      </c>
      <c r="E128" s="4">
        <v>2</v>
      </c>
      <c r="F128" s="4">
        <v>24</v>
      </c>
      <c r="G128" s="15">
        <f t="shared" si="2"/>
        <v>27814</v>
      </c>
      <c r="H128">
        <f t="shared" ca="1" si="3"/>
        <v>50</v>
      </c>
      <c r="I128" t="str" cm="1">
        <f t="array" aca="1" ref="I128" ca="1">_xlfn.IFS(H128&gt;=80,"OLD MAN",H128&gt;=60,"AGED",H128&gt;=30,"MIDDLE AGE",H128&gt;=18,"YOUNG")</f>
        <v>MIDDLE AGE</v>
      </c>
    </row>
    <row r="129" spans="3:9" x14ac:dyDescent="0.3">
      <c r="C129" s="4" t="s">
        <v>590</v>
      </c>
      <c r="D129" s="4">
        <v>1942</v>
      </c>
      <c r="E129" s="4">
        <v>10</v>
      </c>
      <c r="F129" s="4">
        <v>13</v>
      </c>
      <c r="G129" s="15">
        <f t="shared" si="2"/>
        <v>15627</v>
      </c>
      <c r="H129">
        <f t="shared" ca="1" si="3"/>
        <v>83</v>
      </c>
      <c r="I129" t="str" cm="1">
        <f t="array" aca="1" ref="I129" ca="1">_xlfn.IFS(H129&gt;=80,"OLD MAN",H129&gt;=60,"AGED",H129&gt;=30,"MIDDLE AGE",H129&gt;=18,"YOUNG")</f>
        <v>OLD MAN</v>
      </c>
    </row>
    <row r="130" spans="3:9" x14ac:dyDescent="0.3">
      <c r="C130" s="4" t="s">
        <v>595</v>
      </c>
      <c r="D130" s="4">
        <v>1942</v>
      </c>
      <c r="E130" s="4">
        <v>7</v>
      </c>
      <c r="F130" s="4">
        <v>29</v>
      </c>
      <c r="G130" s="15">
        <f t="shared" si="2"/>
        <v>15551</v>
      </c>
      <c r="H130">
        <f t="shared" ca="1" si="3"/>
        <v>83</v>
      </c>
      <c r="I130" t="str" cm="1">
        <f t="array" aca="1" ref="I130" ca="1">_xlfn.IFS(H130&gt;=80,"OLD MAN",H130&gt;=60,"AGED",H130&gt;=30,"MIDDLE AGE",H130&gt;=18,"YOUNG")</f>
        <v>OLD MAN</v>
      </c>
    </row>
    <row r="131" spans="3:9" x14ac:dyDescent="0.3">
      <c r="C131" s="4" t="s">
        <v>600</v>
      </c>
      <c r="D131" s="4">
        <v>1962</v>
      </c>
      <c r="E131" s="4">
        <v>12</v>
      </c>
      <c r="F131" s="4">
        <v>28</v>
      </c>
      <c r="G131" s="15">
        <f t="shared" si="2"/>
        <v>23008</v>
      </c>
      <c r="H131">
        <f t="shared" ca="1" si="3"/>
        <v>63</v>
      </c>
      <c r="I131" t="str" cm="1">
        <f t="array" aca="1" ref="I131" ca="1">_xlfn.IFS(H131&gt;=80,"OLD MAN",H131&gt;=60,"AGED",H131&gt;=30,"MIDDLE AGE",H131&gt;=18,"YOUNG")</f>
        <v>AGED</v>
      </c>
    </row>
    <row r="132" spans="3:9" x14ac:dyDescent="0.3">
      <c r="C132" s="4" t="s">
        <v>605</v>
      </c>
      <c r="D132" s="4">
        <v>1933</v>
      </c>
      <c r="E132" s="4">
        <v>3</v>
      </c>
      <c r="F132" s="4">
        <v>3</v>
      </c>
      <c r="G132" s="15">
        <f t="shared" ref="G132:G195" si="4">DATE(D132,E132,F132)</f>
        <v>12116</v>
      </c>
      <c r="H132">
        <f t="shared" ref="H132:H195" ca="1" si="5">DATEDIF(G132,TODAY(),"Y")</f>
        <v>93</v>
      </c>
      <c r="I132" t="str" cm="1">
        <f t="array" aca="1" ref="I132" ca="1">_xlfn.IFS(H132&gt;=80,"OLD MAN",H132&gt;=60,"AGED",H132&gt;=30,"MIDDLE AGE",H132&gt;=18,"YOUNG")</f>
        <v>OLD MAN</v>
      </c>
    </row>
    <row r="133" spans="3:9" x14ac:dyDescent="0.3">
      <c r="C133" s="4" t="s">
        <v>609</v>
      </c>
      <c r="D133" s="4">
        <v>1959</v>
      </c>
      <c r="E133" s="4">
        <v>3</v>
      </c>
      <c r="F133" s="4">
        <v>15</v>
      </c>
      <c r="G133" s="15">
        <f t="shared" si="4"/>
        <v>21624</v>
      </c>
      <c r="H133">
        <f t="shared" ca="1" si="5"/>
        <v>67</v>
      </c>
      <c r="I133" t="str" cm="1">
        <f t="array" aca="1" ref="I133" ca="1">_xlfn.IFS(H133&gt;=80,"OLD MAN",H133&gt;=60,"AGED",H133&gt;=30,"MIDDLE AGE",H133&gt;=18,"YOUNG")</f>
        <v>AGED</v>
      </c>
    </row>
    <row r="134" spans="3:9" x14ac:dyDescent="0.3">
      <c r="C134" s="4" t="s">
        <v>612</v>
      </c>
      <c r="D134" s="4">
        <v>1947</v>
      </c>
      <c r="E134" s="4">
        <v>7</v>
      </c>
      <c r="F134" s="4">
        <v>29</v>
      </c>
      <c r="G134" s="15">
        <f t="shared" si="4"/>
        <v>17377</v>
      </c>
      <c r="H134">
        <f t="shared" ca="1" si="5"/>
        <v>78</v>
      </c>
      <c r="I134" t="str" cm="1">
        <f t="array" aca="1" ref="I134" ca="1">_xlfn.IFS(H134&gt;=80,"OLD MAN",H134&gt;=60,"AGED",H134&gt;=30,"MIDDLE AGE",H134&gt;=18,"YOUNG")</f>
        <v>AGED</v>
      </c>
    </row>
    <row r="135" spans="3:9" x14ac:dyDescent="0.3">
      <c r="C135" s="4" t="s">
        <v>617</v>
      </c>
      <c r="D135" s="4">
        <v>1964</v>
      </c>
      <c r="E135" s="4">
        <v>4</v>
      </c>
      <c r="F135" s="4">
        <v>21</v>
      </c>
      <c r="G135" s="15">
        <f t="shared" si="4"/>
        <v>23488</v>
      </c>
      <c r="H135">
        <f t="shared" ca="1" si="5"/>
        <v>61</v>
      </c>
      <c r="I135" t="str" cm="1">
        <f t="array" aca="1" ref="I135" ca="1">_xlfn.IFS(H135&gt;=80,"OLD MAN",H135&gt;=60,"AGED",H135&gt;=30,"MIDDLE AGE",H135&gt;=18,"YOUNG")</f>
        <v>AGED</v>
      </c>
    </row>
    <row r="136" spans="3:9" x14ac:dyDescent="0.3">
      <c r="C136" s="4" t="s">
        <v>621</v>
      </c>
      <c r="D136" s="4">
        <v>1965</v>
      </c>
      <c r="E136" s="4">
        <v>7</v>
      </c>
      <c r="F136" s="4">
        <v>12</v>
      </c>
      <c r="G136" s="15">
        <f t="shared" si="4"/>
        <v>23935</v>
      </c>
      <c r="H136">
        <f t="shared" ca="1" si="5"/>
        <v>60</v>
      </c>
      <c r="I136" t="str" cm="1">
        <f t="array" aca="1" ref="I136" ca="1">_xlfn.IFS(H136&gt;=80,"OLD MAN",H136&gt;=60,"AGED",H136&gt;=30,"MIDDLE AGE",H136&gt;=18,"YOUNG")</f>
        <v>AGED</v>
      </c>
    </row>
    <row r="137" spans="3:9" x14ac:dyDescent="0.3">
      <c r="C137" s="4" t="s">
        <v>624</v>
      </c>
      <c r="D137" s="4">
        <v>1973</v>
      </c>
      <c r="E137" s="4">
        <v>2</v>
      </c>
      <c r="F137" s="4">
        <v>1</v>
      </c>
      <c r="G137" s="15">
        <f t="shared" si="4"/>
        <v>26696</v>
      </c>
      <c r="H137">
        <f t="shared" ca="1" si="5"/>
        <v>53</v>
      </c>
      <c r="I137" t="str" cm="1">
        <f t="array" aca="1" ref="I137" ca="1">_xlfn.IFS(H137&gt;=80,"OLD MAN",H137&gt;=60,"AGED",H137&gt;=30,"MIDDLE AGE",H137&gt;=18,"YOUNG")</f>
        <v>MIDDLE AGE</v>
      </c>
    </row>
    <row r="138" spans="3:9" x14ac:dyDescent="0.3">
      <c r="C138" s="4" t="s">
        <v>628</v>
      </c>
      <c r="D138" s="4">
        <v>1953</v>
      </c>
      <c r="E138" s="4">
        <v>10</v>
      </c>
      <c r="F138" s="4">
        <v>8</v>
      </c>
      <c r="G138" s="15">
        <f t="shared" si="4"/>
        <v>19640</v>
      </c>
      <c r="H138">
        <f t="shared" ca="1" si="5"/>
        <v>72</v>
      </c>
      <c r="I138" t="str" cm="1">
        <f t="array" aca="1" ref="I138" ca="1">_xlfn.IFS(H138&gt;=80,"OLD MAN",H138&gt;=60,"AGED",H138&gt;=30,"MIDDLE AGE",H138&gt;=18,"YOUNG")</f>
        <v>AGED</v>
      </c>
    </row>
    <row r="139" spans="3:9" x14ac:dyDescent="0.3">
      <c r="C139" s="4" t="s">
        <v>632</v>
      </c>
      <c r="D139" s="4">
        <v>1950</v>
      </c>
      <c r="E139" s="4">
        <v>7</v>
      </c>
      <c r="F139" s="4">
        <v>18</v>
      </c>
      <c r="G139" s="15">
        <f t="shared" si="4"/>
        <v>18462</v>
      </c>
      <c r="H139">
        <f t="shared" ca="1" si="5"/>
        <v>75</v>
      </c>
      <c r="I139" t="str" cm="1">
        <f t="array" aca="1" ref="I139" ca="1">_xlfn.IFS(H139&gt;=80,"OLD MAN",H139&gt;=60,"AGED",H139&gt;=30,"MIDDLE AGE",H139&gt;=18,"YOUNG")</f>
        <v>AGED</v>
      </c>
    </row>
    <row r="140" spans="3:9" x14ac:dyDescent="0.3">
      <c r="C140" s="4" t="s">
        <v>637</v>
      </c>
      <c r="D140" s="4">
        <v>1963</v>
      </c>
      <c r="E140" s="4">
        <v>11</v>
      </c>
      <c r="F140" s="4">
        <v>6</v>
      </c>
      <c r="G140" s="15">
        <f t="shared" si="4"/>
        <v>23321</v>
      </c>
      <c r="H140">
        <f t="shared" ca="1" si="5"/>
        <v>62</v>
      </c>
      <c r="I140" t="str" cm="1">
        <f t="array" aca="1" ref="I140" ca="1">_xlfn.IFS(H140&gt;=80,"OLD MAN",H140&gt;=60,"AGED",H140&gt;=30,"MIDDLE AGE",H140&gt;=18,"YOUNG")</f>
        <v>AGED</v>
      </c>
    </row>
    <row r="141" spans="3:9" x14ac:dyDescent="0.3">
      <c r="C141" s="4" t="s">
        <v>641</v>
      </c>
      <c r="D141" s="4">
        <v>1940</v>
      </c>
      <c r="E141" s="4">
        <v>5</v>
      </c>
      <c r="F141" s="4">
        <v>10</v>
      </c>
      <c r="G141" s="15">
        <f t="shared" si="4"/>
        <v>14741</v>
      </c>
      <c r="H141">
        <f t="shared" ca="1" si="5"/>
        <v>85</v>
      </c>
      <c r="I141" t="str" cm="1">
        <f t="array" aca="1" ref="I141" ca="1">_xlfn.IFS(H141&gt;=80,"OLD MAN",H141&gt;=60,"AGED",H141&gt;=30,"MIDDLE AGE",H141&gt;=18,"YOUNG")</f>
        <v>OLD MAN</v>
      </c>
    </row>
    <row r="142" spans="3:9" x14ac:dyDescent="0.3">
      <c r="C142" s="4" t="s">
        <v>643</v>
      </c>
      <c r="D142" s="4">
        <v>1984</v>
      </c>
      <c r="E142" s="4">
        <v>10</v>
      </c>
      <c r="F142" s="4">
        <v>10</v>
      </c>
      <c r="G142" s="15">
        <f t="shared" si="4"/>
        <v>30965</v>
      </c>
      <c r="H142">
        <f t="shared" ca="1" si="5"/>
        <v>41</v>
      </c>
      <c r="I142" t="str" cm="1">
        <f t="array" aca="1" ref="I142" ca="1">_xlfn.IFS(H142&gt;=80,"OLD MAN",H142&gt;=60,"AGED",H142&gt;=30,"MIDDLE AGE",H142&gt;=18,"YOUNG")</f>
        <v>MIDDLE AGE</v>
      </c>
    </row>
    <row r="143" spans="3:9" x14ac:dyDescent="0.3">
      <c r="C143" s="4" t="s">
        <v>648</v>
      </c>
      <c r="D143" s="4">
        <v>1950</v>
      </c>
      <c r="E143" s="4">
        <v>2</v>
      </c>
      <c r="F143" s="4">
        <v>16</v>
      </c>
      <c r="G143" s="15">
        <f t="shared" si="4"/>
        <v>18310</v>
      </c>
      <c r="H143">
        <f t="shared" ca="1" si="5"/>
        <v>76</v>
      </c>
      <c r="I143" t="str" cm="1">
        <f t="array" aca="1" ref="I143" ca="1">_xlfn.IFS(H143&gt;=80,"OLD MAN",H143&gt;=60,"AGED",H143&gt;=30,"MIDDLE AGE",H143&gt;=18,"YOUNG")</f>
        <v>AGED</v>
      </c>
    </row>
    <row r="144" spans="3:9" x14ac:dyDescent="0.3">
      <c r="C144" s="4" t="s">
        <v>652</v>
      </c>
      <c r="D144" s="4">
        <v>1950</v>
      </c>
      <c r="E144" s="4">
        <v>2</v>
      </c>
      <c r="F144" s="4">
        <v>16</v>
      </c>
      <c r="G144" s="15">
        <f t="shared" si="4"/>
        <v>18310</v>
      </c>
      <c r="H144">
        <f t="shared" ca="1" si="5"/>
        <v>76</v>
      </c>
      <c r="I144" t="str" cm="1">
        <f t="array" aca="1" ref="I144" ca="1">_xlfn.IFS(H144&gt;=80,"OLD MAN",H144&gt;=60,"AGED",H144&gt;=30,"MIDDLE AGE",H144&gt;=18,"YOUNG")</f>
        <v>AGED</v>
      </c>
    </row>
    <row r="145" spans="3:9" x14ac:dyDescent="0.3">
      <c r="C145" s="4" t="s">
        <v>653</v>
      </c>
      <c r="D145" s="4">
        <v>1964</v>
      </c>
      <c r="E145" s="4">
        <v>1</v>
      </c>
      <c r="F145" s="4">
        <v>1</v>
      </c>
      <c r="G145" s="15">
        <f t="shared" si="4"/>
        <v>23377</v>
      </c>
      <c r="H145">
        <f t="shared" ca="1" si="5"/>
        <v>62</v>
      </c>
      <c r="I145" t="str" cm="1">
        <f t="array" aca="1" ref="I145" ca="1">_xlfn.IFS(H145&gt;=80,"OLD MAN",H145&gt;=60,"AGED",H145&gt;=30,"MIDDLE AGE",H145&gt;=18,"YOUNG")</f>
        <v>AGED</v>
      </c>
    </row>
    <row r="146" spans="3:9" x14ac:dyDescent="0.3">
      <c r="C146" s="4" t="s">
        <v>658</v>
      </c>
      <c r="D146" s="4">
        <v>1972</v>
      </c>
      <c r="E146" s="4">
        <v>7</v>
      </c>
      <c r="F146" s="4">
        <v>21</v>
      </c>
      <c r="G146" s="15">
        <f t="shared" si="4"/>
        <v>26501</v>
      </c>
      <c r="H146">
        <f t="shared" ca="1" si="5"/>
        <v>53</v>
      </c>
      <c r="I146" t="str" cm="1">
        <f t="array" aca="1" ref="I146" ca="1">_xlfn.IFS(H146&gt;=80,"OLD MAN",H146&gt;=60,"AGED",H146&gt;=30,"MIDDLE AGE",H146&gt;=18,"YOUNG")</f>
        <v>MIDDLE AGE</v>
      </c>
    </row>
    <row r="147" spans="3:9" x14ac:dyDescent="0.3">
      <c r="C147" s="4" t="s">
        <v>662</v>
      </c>
      <c r="D147" s="4">
        <v>1948</v>
      </c>
      <c r="E147" s="4">
        <v>9</v>
      </c>
      <c r="F147" s="4">
        <v>30</v>
      </c>
      <c r="G147" s="15">
        <f t="shared" si="4"/>
        <v>17806</v>
      </c>
      <c r="H147">
        <f t="shared" ca="1" si="5"/>
        <v>77</v>
      </c>
      <c r="I147" t="str" cm="1">
        <f t="array" aca="1" ref="I147" ca="1">_xlfn.IFS(H147&gt;=80,"OLD MAN",H147&gt;=60,"AGED",H147&gt;=30,"MIDDLE AGE",H147&gt;=18,"YOUNG")</f>
        <v>AGED</v>
      </c>
    </row>
    <row r="148" spans="3:9" x14ac:dyDescent="0.3">
      <c r="C148" s="4" t="s">
        <v>665</v>
      </c>
      <c r="D148" s="4">
        <v>1953</v>
      </c>
      <c r="E148" s="4">
        <v>9</v>
      </c>
      <c r="F148" s="4">
        <v>8</v>
      </c>
      <c r="G148" s="15">
        <f t="shared" si="4"/>
        <v>19610</v>
      </c>
      <c r="H148">
        <f t="shared" ca="1" si="5"/>
        <v>72</v>
      </c>
      <c r="I148" t="str" cm="1">
        <f t="array" aca="1" ref="I148" ca="1">_xlfn.IFS(H148&gt;=80,"OLD MAN",H148&gt;=60,"AGED",H148&gt;=30,"MIDDLE AGE",H148&gt;=18,"YOUNG")</f>
        <v>AGED</v>
      </c>
    </row>
    <row r="149" spans="3:9" x14ac:dyDescent="0.3">
      <c r="C149" s="4" t="s">
        <v>671</v>
      </c>
      <c r="D149" s="4">
        <v>1960</v>
      </c>
      <c r="E149" s="4">
        <v>4</v>
      </c>
      <c r="F149" s="4">
        <v>11</v>
      </c>
      <c r="G149" s="15">
        <f t="shared" si="4"/>
        <v>22017</v>
      </c>
      <c r="H149">
        <f t="shared" ca="1" si="5"/>
        <v>66</v>
      </c>
      <c r="I149" t="str" cm="1">
        <f t="array" aca="1" ref="I149" ca="1">_xlfn.IFS(H149&gt;=80,"OLD MAN",H149&gt;=60,"AGED",H149&gt;=30,"MIDDLE AGE",H149&gt;=18,"YOUNG")</f>
        <v>AGED</v>
      </c>
    </row>
    <row r="150" spans="3:9" x14ac:dyDescent="0.3">
      <c r="C150" s="4" t="s">
        <v>675</v>
      </c>
      <c r="D150" s="4">
        <v>1965</v>
      </c>
      <c r="E150" s="4">
        <v>5</v>
      </c>
      <c r="F150" s="4">
        <v>3</v>
      </c>
      <c r="G150" s="15">
        <f t="shared" si="4"/>
        <v>23865</v>
      </c>
      <c r="H150">
        <f t="shared" ca="1" si="5"/>
        <v>60</v>
      </c>
      <c r="I150" t="str" cm="1">
        <f t="array" aca="1" ref="I150" ca="1">_xlfn.IFS(H150&gt;=80,"OLD MAN",H150&gt;=60,"AGED",H150&gt;=30,"MIDDLE AGE",H150&gt;=18,"YOUNG")</f>
        <v>AGED</v>
      </c>
    </row>
    <row r="151" spans="3:9" x14ac:dyDescent="0.3">
      <c r="C151" s="4" t="s">
        <v>678</v>
      </c>
      <c r="D151" s="4">
        <v>1934</v>
      </c>
      <c r="E151" s="4">
        <v>7</v>
      </c>
      <c r="F151" s="4">
        <v>11</v>
      </c>
      <c r="G151" s="15">
        <f t="shared" si="4"/>
        <v>12611</v>
      </c>
      <c r="H151">
        <f t="shared" ca="1" si="5"/>
        <v>91</v>
      </c>
      <c r="I151" t="str" cm="1">
        <f t="array" aca="1" ref="I151" ca="1">_xlfn.IFS(H151&gt;=80,"OLD MAN",H151&gt;=60,"AGED",H151&gt;=30,"MIDDLE AGE",H151&gt;=18,"YOUNG")</f>
        <v>OLD MAN</v>
      </c>
    </row>
    <row r="152" spans="3:9" x14ac:dyDescent="0.3">
      <c r="C152" s="4" t="s">
        <v>684</v>
      </c>
      <c r="D152" s="4">
        <v>1950</v>
      </c>
      <c r="E152" s="4">
        <v>6</v>
      </c>
      <c r="F152" s="4">
        <v>1</v>
      </c>
      <c r="G152" s="15">
        <f t="shared" si="4"/>
        <v>18415</v>
      </c>
      <c r="H152">
        <f t="shared" ca="1" si="5"/>
        <v>75</v>
      </c>
      <c r="I152" t="str" cm="1">
        <f t="array" aca="1" ref="I152" ca="1">_xlfn.IFS(H152&gt;=80,"OLD MAN",H152&gt;=60,"AGED",H152&gt;=30,"MIDDLE AGE",H152&gt;=18,"YOUNG")</f>
        <v>AGED</v>
      </c>
    </row>
    <row r="153" spans="3:9" x14ac:dyDescent="0.3">
      <c r="C153" s="4" t="s">
        <v>689</v>
      </c>
      <c r="D153" s="4">
        <v>1972</v>
      </c>
      <c r="E153" s="4">
        <v>1</v>
      </c>
      <c r="F153" s="4">
        <v>1</v>
      </c>
      <c r="G153" s="15">
        <f t="shared" si="4"/>
        <v>26299</v>
      </c>
      <c r="H153">
        <f t="shared" ca="1" si="5"/>
        <v>54</v>
      </c>
      <c r="I153" t="str" cm="1">
        <f t="array" aca="1" ref="I153" ca="1">_xlfn.IFS(H153&gt;=80,"OLD MAN",H153&gt;=60,"AGED",H153&gt;=30,"MIDDLE AGE",H153&gt;=18,"YOUNG")</f>
        <v>MIDDLE AGE</v>
      </c>
    </row>
    <row r="154" spans="3:9" x14ac:dyDescent="0.3">
      <c r="C154" s="4" t="s">
        <v>691</v>
      </c>
      <c r="D154" s="4">
        <v>1939</v>
      </c>
      <c r="E154" s="4">
        <v>12</v>
      </c>
      <c r="F154" s="4">
        <v>28</v>
      </c>
      <c r="G154" s="15">
        <f t="shared" si="4"/>
        <v>14607</v>
      </c>
      <c r="H154">
        <f t="shared" ca="1" si="5"/>
        <v>86</v>
      </c>
      <c r="I154" t="str" cm="1">
        <f t="array" aca="1" ref="I154" ca="1">_xlfn.IFS(H154&gt;=80,"OLD MAN",H154&gt;=60,"AGED",H154&gt;=30,"MIDDLE AGE",H154&gt;=18,"YOUNG")</f>
        <v>OLD MAN</v>
      </c>
    </row>
    <row r="155" spans="3:9" x14ac:dyDescent="0.3">
      <c r="C155" s="4" t="s">
        <v>696</v>
      </c>
      <c r="D155" s="4">
        <v>1937</v>
      </c>
      <c r="E155" s="4">
        <v>6</v>
      </c>
      <c r="F155" s="4">
        <v>17</v>
      </c>
      <c r="G155" s="15">
        <f t="shared" si="4"/>
        <v>13683</v>
      </c>
      <c r="H155">
        <f t="shared" ca="1" si="5"/>
        <v>88</v>
      </c>
      <c r="I155" t="str" cm="1">
        <f t="array" aca="1" ref="I155" ca="1">_xlfn.IFS(H155&gt;=80,"OLD MAN",H155&gt;=60,"AGED",H155&gt;=30,"MIDDLE AGE",H155&gt;=18,"YOUNG")</f>
        <v>OLD MAN</v>
      </c>
    </row>
    <row r="156" spans="3:9" x14ac:dyDescent="0.3">
      <c r="C156" s="4" t="s">
        <v>700</v>
      </c>
      <c r="D156" s="4">
        <v>1955</v>
      </c>
      <c r="E156" s="4">
        <v>10</v>
      </c>
      <c r="F156" s="4">
        <v>19</v>
      </c>
      <c r="G156" s="15">
        <f t="shared" si="4"/>
        <v>20381</v>
      </c>
      <c r="H156">
        <f t="shared" ca="1" si="5"/>
        <v>70</v>
      </c>
      <c r="I156" t="str" cm="1">
        <f t="array" aca="1" ref="I156" ca="1">_xlfn.IFS(H156&gt;=80,"OLD MAN",H156&gt;=60,"AGED",H156&gt;=30,"MIDDLE AGE",H156&gt;=18,"YOUNG")</f>
        <v>AGED</v>
      </c>
    </row>
    <row r="157" spans="3:9" x14ac:dyDescent="0.3">
      <c r="C157" s="4" t="s">
        <v>704</v>
      </c>
      <c r="D157" s="4">
        <v>1929</v>
      </c>
      <c r="E157" s="4">
        <v>8</v>
      </c>
      <c r="F157" s="4">
        <v>5</v>
      </c>
      <c r="G157" s="15">
        <f t="shared" si="4"/>
        <v>10810</v>
      </c>
      <c r="H157">
        <f t="shared" ca="1" si="5"/>
        <v>96</v>
      </c>
      <c r="I157" t="str" cm="1">
        <f t="array" aca="1" ref="I157" ca="1">_xlfn.IFS(H157&gt;=80,"OLD MAN",H157&gt;=60,"AGED",H157&gt;=30,"MIDDLE AGE",H157&gt;=18,"YOUNG")</f>
        <v>OLD MAN</v>
      </c>
    </row>
    <row r="158" spans="3:9" x14ac:dyDescent="0.3">
      <c r="C158" s="4" t="s">
        <v>706</v>
      </c>
      <c r="D158" s="4">
        <v>1941</v>
      </c>
      <c r="E158" s="4">
        <v>6</v>
      </c>
      <c r="F158" s="4">
        <v>5</v>
      </c>
      <c r="G158" s="15">
        <f t="shared" si="4"/>
        <v>15132</v>
      </c>
      <c r="H158">
        <f t="shared" ca="1" si="5"/>
        <v>84</v>
      </c>
      <c r="I158" t="str" cm="1">
        <f t="array" aca="1" ref="I158" ca="1">_xlfn.IFS(H158&gt;=80,"OLD MAN",H158&gt;=60,"AGED",H158&gt;=30,"MIDDLE AGE",H158&gt;=18,"YOUNG")</f>
        <v>OLD MAN</v>
      </c>
    </row>
    <row r="159" spans="3:9" x14ac:dyDescent="0.3">
      <c r="C159" s="4" t="s">
        <v>710</v>
      </c>
      <c r="D159" s="4">
        <v>1950</v>
      </c>
      <c r="E159" s="4">
        <v>1</v>
      </c>
      <c r="F159" s="4">
        <v>1</v>
      </c>
      <c r="G159" s="15">
        <f t="shared" si="4"/>
        <v>18264</v>
      </c>
      <c r="H159">
        <f t="shared" ca="1" si="5"/>
        <v>76</v>
      </c>
      <c r="I159" t="str" cm="1">
        <f t="array" aca="1" ref="I159" ca="1">_xlfn.IFS(H159&gt;=80,"OLD MAN",H159&gt;=60,"AGED",H159&gt;=30,"MIDDLE AGE",H159&gt;=18,"YOUNG")</f>
        <v>AGED</v>
      </c>
    </row>
    <row r="160" spans="3:9" x14ac:dyDescent="0.3">
      <c r="C160" s="4" t="s">
        <v>716</v>
      </c>
      <c r="D160" s="4">
        <v>1966</v>
      </c>
      <c r="E160" s="4">
        <v>3</v>
      </c>
      <c r="F160" s="4">
        <v>12</v>
      </c>
      <c r="G160" s="15">
        <f t="shared" si="4"/>
        <v>24178</v>
      </c>
      <c r="H160">
        <f t="shared" ca="1" si="5"/>
        <v>60</v>
      </c>
      <c r="I160" t="str" cm="1">
        <f t="array" aca="1" ref="I160" ca="1">_xlfn.IFS(H160&gt;=80,"OLD MAN",H160&gt;=60,"AGED",H160&gt;=30,"MIDDLE AGE",H160&gt;=18,"YOUNG")</f>
        <v>AGED</v>
      </c>
    </row>
    <row r="161" spans="3:9" x14ac:dyDescent="0.3">
      <c r="C161" s="4" t="s">
        <v>720</v>
      </c>
      <c r="D161" s="4">
        <v>1984</v>
      </c>
      <c r="E161" s="4">
        <v>1</v>
      </c>
      <c r="F161" s="4">
        <v>1</v>
      </c>
      <c r="G161" s="15">
        <f t="shared" si="4"/>
        <v>30682</v>
      </c>
      <c r="H161">
        <f t="shared" ca="1" si="5"/>
        <v>42</v>
      </c>
      <c r="I161" t="str" cm="1">
        <f t="array" aca="1" ref="I161" ca="1">_xlfn.IFS(H161&gt;=80,"OLD MAN",H161&gt;=60,"AGED",H161&gt;=30,"MIDDLE AGE",H161&gt;=18,"YOUNG")</f>
        <v>MIDDLE AGE</v>
      </c>
    </row>
    <row r="162" spans="3:9" x14ac:dyDescent="0.3">
      <c r="C162" s="4" t="s">
        <v>722</v>
      </c>
      <c r="D162" s="4">
        <v>1977</v>
      </c>
      <c r="E162" s="4">
        <v>9</v>
      </c>
      <c r="F162" s="4">
        <v>10</v>
      </c>
      <c r="G162" s="15">
        <f t="shared" si="4"/>
        <v>28378</v>
      </c>
      <c r="H162">
        <f t="shared" ca="1" si="5"/>
        <v>48</v>
      </c>
      <c r="I162" t="str" cm="1">
        <f t="array" aca="1" ref="I162" ca="1">_xlfn.IFS(H162&gt;=80,"OLD MAN",H162&gt;=60,"AGED",H162&gt;=30,"MIDDLE AGE",H162&gt;=18,"YOUNG")</f>
        <v>MIDDLE AGE</v>
      </c>
    </row>
    <row r="163" spans="3:9" x14ac:dyDescent="0.3">
      <c r="C163" s="4" t="s">
        <v>726</v>
      </c>
      <c r="D163" s="4">
        <v>1952</v>
      </c>
      <c r="E163" s="4">
        <v>11</v>
      </c>
      <c r="F163" s="4">
        <v>29</v>
      </c>
      <c r="G163" s="15">
        <f t="shared" si="4"/>
        <v>19327</v>
      </c>
      <c r="H163">
        <f t="shared" ca="1" si="5"/>
        <v>73</v>
      </c>
      <c r="I163" t="str" cm="1">
        <f t="array" aca="1" ref="I163" ca="1">_xlfn.IFS(H163&gt;=80,"OLD MAN",H163&gt;=60,"AGED",H163&gt;=30,"MIDDLE AGE",H163&gt;=18,"YOUNG")</f>
        <v>AGED</v>
      </c>
    </row>
    <row r="164" spans="3:9" x14ac:dyDescent="0.3">
      <c r="C164" s="4" t="s">
        <v>729</v>
      </c>
      <c r="D164" s="4">
        <v>1979</v>
      </c>
      <c r="E164" s="4">
        <v>11</v>
      </c>
      <c r="F164" s="4">
        <v>17</v>
      </c>
      <c r="G164" s="15">
        <f t="shared" si="4"/>
        <v>29176</v>
      </c>
      <c r="H164">
        <f t="shared" ca="1" si="5"/>
        <v>46</v>
      </c>
      <c r="I164" t="str" cm="1">
        <f t="array" aca="1" ref="I164" ca="1">_xlfn.IFS(H164&gt;=80,"OLD MAN",H164&gt;=60,"AGED",H164&gt;=30,"MIDDLE AGE",H164&gt;=18,"YOUNG")</f>
        <v>MIDDLE AGE</v>
      </c>
    </row>
    <row r="165" spans="3:9" x14ac:dyDescent="0.3">
      <c r="C165" s="4" t="s">
        <v>733</v>
      </c>
      <c r="D165" s="4">
        <v>1962</v>
      </c>
      <c r="E165" s="4">
        <v>8</v>
      </c>
      <c r="F165" s="4">
        <v>19</v>
      </c>
      <c r="G165" s="15">
        <f t="shared" si="4"/>
        <v>22877</v>
      </c>
      <c r="H165">
        <f t="shared" ca="1" si="5"/>
        <v>63</v>
      </c>
      <c r="I165" t="str" cm="1">
        <f t="array" aca="1" ref="I165" ca="1">_xlfn.IFS(H165&gt;=80,"OLD MAN",H165&gt;=60,"AGED",H165&gt;=30,"MIDDLE AGE",H165&gt;=18,"YOUNG")</f>
        <v>AGED</v>
      </c>
    </row>
    <row r="166" spans="3:9" x14ac:dyDescent="0.3">
      <c r="C166" s="4" t="s">
        <v>736</v>
      </c>
      <c r="D166" s="4">
        <v>1940</v>
      </c>
      <c r="E166" s="4">
        <v>9</v>
      </c>
      <c r="F166" s="4">
        <v>21</v>
      </c>
      <c r="G166" s="15">
        <f t="shared" si="4"/>
        <v>14875</v>
      </c>
      <c r="H166">
        <f t="shared" ca="1" si="5"/>
        <v>85</v>
      </c>
      <c r="I166" t="str" cm="1">
        <f t="array" aca="1" ref="I166" ca="1">_xlfn.IFS(H166&gt;=80,"OLD MAN",H166&gt;=60,"AGED",H166&gt;=30,"MIDDLE AGE",H166&gt;=18,"YOUNG")</f>
        <v>OLD MAN</v>
      </c>
    </row>
    <row r="167" spans="3:9" x14ac:dyDescent="0.3">
      <c r="C167" s="4" t="s">
        <v>740</v>
      </c>
      <c r="D167" s="4">
        <v>1959</v>
      </c>
      <c r="E167" s="4">
        <v>3</v>
      </c>
      <c r="F167" s="4">
        <v>5</v>
      </c>
      <c r="G167" s="15">
        <f t="shared" si="4"/>
        <v>21614</v>
      </c>
      <c r="H167">
        <f t="shared" ca="1" si="5"/>
        <v>67</v>
      </c>
      <c r="I167" t="str" cm="1">
        <f t="array" aca="1" ref="I167" ca="1">_xlfn.IFS(H167&gt;=80,"OLD MAN",H167&gt;=60,"AGED",H167&gt;=30,"MIDDLE AGE",H167&gt;=18,"YOUNG")</f>
        <v>AGED</v>
      </c>
    </row>
    <row r="168" spans="3:9" x14ac:dyDescent="0.3">
      <c r="C168" s="4" t="s">
        <v>744</v>
      </c>
      <c r="D168" s="4">
        <v>1948</v>
      </c>
      <c r="E168" s="4">
        <v>10</v>
      </c>
      <c r="F168" s="4">
        <v>13</v>
      </c>
      <c r="G168" s="15">
        <f t="shared" si="4"/>
        <v>17819</v>
      </c>
      <c r="H168">
        <f t="shared" ca="1" si="5"/>
        <v>77</v>
      </c>
      <c r="I168" t="str" cm="1">
        <f t="array" aca="1" ref="I168" ca="1">_xlfn.IFS(H168&gt;=80,"OLD MAN",H168&gt;=60,"AGED",H168&gt;=30,"MIDDLE AGE",H168&gt;=18,"YOUNG")</f>
        <v>AGED</v>
      </c>
    </row>
    <row r="169" spans="3:9" x14ac:dyDescent="0.3">
      <c r="C169" s="4" t="s">
        <v>748</v>
      </c>
      <c r="D169" s="4">
        <v>1982</v>
      </c>
      <c r="E169" s="4">
        <v>3</v>
      </c>
      <c r="F169" s="4">
        <v>19</v>
      </c>
      <c r="G169" s="15">
        <f t="shared" si="4"/>
        <v>30029</v>
      </c>
      <c r="H169">
        <f t="shared" ca="1" si="5"/>
        <v>44</v>
      </c>
      <c r="I169" t="str" cm="1">
        <f t="array" aca="1" ref="I169" ca="1">_xlfn.IFS(H169&gt;=80,"OLD MAN",H169&gt;=60,"AGED",H169&gt;=30,"MIDDLE AGE",H169&gt;=18,"YOUNG")</f>
        <v>MIDDLE AGE</v>
      </c>
    </row>
    <row r="170" spans="3:9" x14ac:dyDescent="0.3">
      <c r="C170" s="4" t="s">
        <v>751</v>
      </c>
      <c r="D170" s="4">
        <v>1964</v>
      </c>
      <c r="E170" s="4">
        <v>10</v>
      </c>
      <c r="F170" s="4">
        <v>19</v>
      </c>
      <c r="G170" s="15">
        <f t="shared" si="4"/>
        <v>23669</v>
      </c>
      <c r="H170">
        <f t="shared" ca="1" si="5"/>
        <v>61</v>
      </c>
      <c r="I170" t="str" cm="1">
        <f t="array" aca="1" ref="I170" ca="1">_xlfn.IFS(H170&gt;=80,"OLD MAN",H170&gt;=60,"AGED",H170&gt;=30,"MIDDLE AGE",H170&gt;=18,"YOUNG")</f>
        <v>AGED</v>
      </c>
    </row>
    <row r="171" spans="3:9" x14ac:dyDescent="0.3">
      <c r="C171" s="4" t="s">
        <v>755</v>
      </c>
      <c r="D171" s="4">
        <v>1949</v>
      </c>
      <c r="E171" s="4">
        <v>2</v>
      </c>
      <c r="F171" s="4">
        <v>8</v>
      </c>
      <c r="G171" s="15">
        <f t="shared" si="4"/>
        <v>17937</v>
      </c>
      <c r="H171">
        <f t="shared" ca="1" si="5"/>
        <v>77</v>
      </c>
      <c r="I171" t="str" cm="1">
        <f t="array" aca="1" ref="I171" ca="1">_xlfn.IFS(H171&gt;=80,"OLD MAN",H171&gt;=60,"AGED",H171&gt;=30,"MIDDLE AGE",H171&gt;=18,"YOUNG")</f>
        <v>AGED</v>
      </c>
    </row>
    <row r="172" spans="3:9" x14ac:dyDescent="0.3">
      <c r="C172" s="4" t="s">
        <v>757</v>
      </c>
      <c r="D172" s="4">
        <v>1979</v>
      </c>
      <c r="E172" s="4">
        <v>12</v>
      </c>
      <c r="F172" s="4">
        <v>17</v>
      </c>
      <c r="G172" s="15">
        <f t="shared" si="4"/>
        <v>29206</v>
      </c>
      <c r="H172">
        <f t="shared" ca="1" si="5"/>
        <v>46</v>
      </c>
      <c r="I172" t="str" cm="1">
        <f t="array" aca="1" ref="I172" ca="1">_xlfn.IFS(H172&gt;=80,"OLD MAN",H172&gt;=60,"AGED",H172&gt;=30,"MIDDLE AGE",H172&gt;=18,"YOUNG")</f>
        <v>MIDDLE AGE</v>
      </c>
    </row>
    <row r="173" spans="3:9" x14ac:dyDescent="0.3">
      <c r="C173" s="4" t="s">
        <v>759</v>
      </c>
      <c r="D173" s="4">
        <v>1941</v>
      </c>
      <c r="E173" s="4">
        <v>8</v>
      </c>
      <c r="F173" s="4">
        <v>12</v>
      </c>
      <c r="G173" s="15">
        <f t="shared" si="4"/>
        <v>15200</v>
      </c>
      <c r="H173">
        <f t="shared" ca="1" si="5"/>
        <v>84</v>
      </c>
      <c r="I173" t="str" cm="1">
        <f t="array" aca="1" ref="I173" ca="1">_xlfn.IFS(H173&gt;=80,"OLD MAN",H173&gt;=60,"AGED",H173&gt;=30,"MIDDLE AGE",H173&gt;=18,"YOUNG")</f>
        <v>OLD MAN</v>
      </c>
    </row>
    <row r="174" spans="3:9" x14ac:dyDescent="0.3">
      <c r="C174" s="4" t="s">
        <v>766</v>
      </c>
      <c r="D174" s="4">
        <v>1964</v>
      </c>
      <c r="E174" s="4">
        <v>1</v>
      </c>
      <c r="F174" s="4">
        <v>1</v>
      </c>
      <c r="G174" s="15">
        <f t="shared" si="4"/>
        <v>23377</v>
      </c>
      <c r="H174">
        <f t="shared" ca="1" si="5"/>
        <v>62</v>
      </c>
      <c r="I174" t="str" cm="1">
        <f t="array" aca="1" ref="I174" ca="1">_xlfn.IFS(H174&gt;=80,"OLD MAN",H174&gt;=60,"AGED",H174&gt;=30,"MIDDLE AGE",H174&gt;=18,"YOUNG")</f>
        <v>AGED</v>
      </c>
    </row>
    <row r="175" spans="3:9" x14ac:dyDescent="0.3">
      <c r="C175" s="4" t="s">
        <v>769</v>
      </c>
      <c r="D175" s="4">
        <v>1938</v>
      </c>
      <c r="E175" s="4">
        <v>3</v>
      </c>
      <c r="F175" s="4">
        <v>8</v>
      </c>
      <c r="G175" s="15">
        <f t="shared" si="4"/>
        <v>13947</v>
      </c>
      <c r="H175">
        <f t="shared" ca="1" si="5"/>
        <v>88</v>
      </c>
      <c r="I175" t="str" cm="1">
        <f t="array" aca="1" ref="I175" ca="1">_xlfn.IFS(H175&gt;=80,"OLD MAN",H175&gt;=60,"AGED",H175&gt;=30,"MIDDLE AGE",H175&gt;=18,"YOUNG")</f>
        <v>OLD MAN</v>
      </c>
    </row>
    <row r="176" spans="3:9" x14ac:dyDescent="0.3">
      <c r="C176" s="4" t="s">
        <v>773</v>
      </c>
      <c r="D176" s="4">
        <v>1948</v>
      </c>
      <c r="E176" s="4">
        <v>6</v>
      </c>
      <c r="F176" s="4">
        <v>1</v>
      </c>
      <c r="G176" s="15">
        <f t="shared" si="4"/>
        <v>17685</v>
      </c>
      <c r="H176">
        <f t="shared" ca="1" si="5"/>
        <v>77</v>
      </c>
      <c r="I176" t="str" cm="1">
        <f t="array" aca="1" ref="I176" ca="1">_xlfn.IFS(H176&gt;=80,"OLD MAN",H176&gt;=60,"AGED",H176&gt;=30,"MIDDLE AGE",H176&gt;=18,"YOUNG")</f>
        <v>AGED</v>
      </c>
    </row>
    <row r="177" spans="3:9" x14ac:dyDescent="0.3">
      <c r="C177" s="4" t="s">
        <v>775</v>
      </c>
      <c r="D177" s="4">
        <v>1949</v>
      </c>
      <c r="E177" s="4">
        <v>1</v>
      </c>
      <c r="F177" s="4">
        <v>10</v>
      </c>
      <c r="G177" s="15">
        <f t="shared" si="4"/>
        <v>17908</v>
      </c>
      <c r="H177">
        <f t="shared" ca="1" si="5"/>
        <v>77</v>
      </c>
      <c r="I177" t="str" cm="1">
        <f t="array" aca="1" ref="I177" ca="1">_xlfn.IFS(H177&gt;=80,"OLD MAN",H177&gt;=60,"AGED",H177&gt;=30,"MIDDLE AGE",H177&gt;=18,"YOUNG")</f>
        <v>AGED</v>
      </c>
    </row>
    <row r="178" spans="3:9" x14ac:dyDescent="0.3">
      <c r="C178" s="4" t="s">
        <v>777</v>
      </c>
      <c r="D178" s="4">
        <v>1943</v>
      </c>
      <c r="E178" s="4">
        <v>1</v>
      </c>
      <c r="F178" s="4">
        <v>29</v>
      </c>
      <c r="G178" s="15">
        <f t="shared" si="4"/>
        <v>15735</v>
      </c>
      <c r="H178">
        <f t="shared" ca="1" si="5"/>
        <v>83</v>
      </c>
      <c r="I178" t="str" cm="1">
        <f t="array" aca="1" ref="I178" ca="1">_xlfn.IFS(H178&gt;=80,"OLD MAN",H178&gt;=60,"AGED",H178&gt;=30,"MIDDLE AGE",H178&gt;=18,"YOUNG")</f>
        <v>OLD MAN</v>
      </c>
    </row>
    <row r="179" spans="3:9" x14ac:dyDescent="0.3">
      <c r="C179" s="4" t="s">
        <v>782</v>
      </c>
      <c r="D179" s="4">
        <v>1971</v>
      </c>
      <c r="E179" s="4">
        <v>8</v>
      </c>
      <c r="F179" s="4">
        <v>10</v>
      </c>
      <c r="G179" s="15">
        <f t="shared" si="4"/>
        <v>26155</v>
      </c>
      <c r="H179">
        <f t="shared" ca="1" si="5"/>
        <v>54</v>
      </c>
      <c r="I179" t="str" cm="1">
        <f t="array" aca="1" ref="I179" ca="1">_xlfn.IFS(H179&gt;=80,"OLD MAN",H179&gt;=60,"AGED",H179&gt;=30,"MIDDLE AGE",H179&gt;=18,"YOUNG")</f>
        <v>MIDDLE AGE</v>
      </c>
    </row>
    <row r="180" spans="3:9" x14ac:dyDescent="0.3">
      <c r="C180" s="4" t="s">
        <v>786</v>
      </c>
      <c r="D180" s="4">
        <v>1970</v>
      </c>
      <c r="E180" s="4">
        <v>3</v>
      </c>
      <c r="F180" s="4">
        <v>3</v>
      </c>
      <c r="G180" s="15">
        <f t="shared" si="4"/>
        <v>25630</v>
      </c>
      <c r="H180">
        <f t="shared" ca="1" si="5"/>
        <v>56</v>
      </c>
      <c r="I180" t="str" cm="1">
        <f t="array" aca="1" ref="I180" ca="1">_xlfn.IFS(H180&gt;=80,"OLD MAN",H180&gt;=60,"AGED",H180&gt;=30,"MIDDLE AGE",H180&gt;=18,"YOUNG")</f>
        <v>MIDDLE AGE</v>
      </c>
    </row>
    <row r="181" spans="3:9" x14ac:dyDescent="0.3">
      <c r="C181" s="4" t="s">
        <v>788</v>
      </c>
      <c r="D181" s="4">
        <v>1968</v>
      </c>
      <c r="E181" s="4">
        <v>2</v>
      </c>
      <c r="F181" s="4">
        <v>1</v>
      </c>
      <c r="G181" s="15">
        <f t="shared" si="4"/>
        <v>24869</v>
      </c>
      <c r="H181">
        <f t="shared" ca="1" si="5"/>
        <v>58</v>
      </c>
      <c r="I181" t="str" cm="1">
        <f t="array" aca="1" ref="I181" ca="1">_xlfn.IFS(H181&gt;=80,"OLD MAN",H181&gt;=60,"AGED",H181&gt;=30,"MIDDLE AGE",H181&gt;=18,"YOUNG")</f>
        <v>MIDDLE AGE</v>
      </c>
    </row>
    <row r="182" spans="3:9" x14ac:dyDescent="0.3">
      <c r="C182" s="4" t="s">
        <v>791</v>
      </c>
      <c r="D182" s="4">
        <v>1947</v>
      </c>
      <c r="E182" s="4">
        <v>5</v>
      </c>
      <c r="F182" s="4">
        <v>15</v>
      </c>
      <c r="G182" s="15">
        <f t="shared" si="4"/>
        <v>17302</v>
      </c>
      <c r="H182">
        <f t="shared" ca="1" si="5"/>
        <v>78</v>
      </c>
      <c r="I182" t="str" cm="1">
        <f t="array" aca="1" ref="I182" ca="1">_xlfn.IFS(H182&gt;=80,"OLD MAN",H182&gt;=60,"AGED",H182&gt;=30,"MIDDLE AGE",H182&gt;=18,"YOUNG")</f>
        <v>AGED</v>
      </c>
    </row>
    <row r="183" spans="3:9" x14ac:dyDescent="0.3">
      <c r="C183" s="4" t="s">
        <v>794</v>
      </c>
      <c r="D183" s="4">
        <v>1960</v>
      </c>
      <c r="E183" s="4">
        <v>3</v>
      </c>
      <c r="F183" s="4">
        <v>24</v>
      </c>
      <c r="G183" s="15">
        <f t="shared" si="4"/>
        <v>21999</v>
      </c>
      <c r="H183">
        <f t="shared" ca="1" si="5"/>
        <v>66</v>
      </c>
      <c r="I183" t="str" cm="1">
        <f t="array" aca="1" ref="I183" ca="1">_xlfn.IFS(H183&gt;=80,"OLD MAN",H183&gt;=60,"AGED",H183&gt;=30,"MIDDLE AGE",H183&gt;=18,"YOUNG")</f>
        <v>AGED</v>
      </c>
    </row>
    <row r="184" spans="3:9" x14ac:dyDescent="0.3">
      <c r="C184" s="4" t="s">
        <v>798</v>
      </c>
      <c r="D184" s="4">
        <v>1963</v>
      </c>
      <c r="E184" s="4">
        <v>10</v>
      </c>
      <c r="F184" s="4">
        <v>1</v>
      </c>
      <c r="G184" s="15">
        <f t="shared" si="4"/>
        <v>23285</v>
      </c>
      <c r="H184">
        <f t="shared" ca="1" si="5"/>
        <v>62</v>
      </c>
      <c r="I184" t="str" cm="1">
        <f t="array" aca="1" ref="I184" ca="1">_xlfn.IFS(H184&gt;=80,"OLD MAN",H184&gt;=60,"AGED",H184&gt;=30,"MIDDLE AGE",H184&gt;=18,"YOUNG")</f>
        <v>AGED</v>
      </c>
    </row>
    <row r="185" spans="3:9" x14ac:dyDescent="0.3">
      <c r="C185" s="4" t="s">
        <v>804</v>
      </c>
      <c r="D185" s="4">
        <v>1969</v>
      </c>
      <c r="E185" s="4">
        <v>12</v>
      </c>
      <c r="F185" s="4">
        <v>16</v>
      </c>
      <c r="G185" s="15">
        <f t="shared" si="4"/>
        <v>25553</v>
      </c>
      <c r="H185">
        <f t="shared" ca="1" si="5"/>
        <v>56</v>
      </c>
      <c r="I185" t="str" cm="1">
        <f t="array" aca="1" ref="I185" ca="1">_xlfn.IFS(H185&gt;=80,"OLD MAN",H185&gt;=60,"AGED",H185&gt;=30,"MIDDLE AGE",H185&gt;=18,"YOUNG")</f>
        <v>MIDDLE AGE</v>
      </c>
    </row>
    <row r="186" spans="3:9" x14ac:dyDescent="0.3">
      <c r="C186" s="4" t="s">
        <v>808</v>
      </c>
      <c r="D186" s="4">
        <v>1946</v>
      </c>
      <c r="E186" s="4">
        <v>8</v>
      </c>
      <c r="F186" s="4">
        <v>15</v>
      </c>
      <c r="G186" s="15">
        <f t="shared" si="4"/>
        <v>17029</v>
      </c>
      <c r="H186">
        <f t="shared" ca="1" si="5"/>
        <v>79</v>
      </c>
      <c r="I186" t="str" cm="1">
        <f t="array" aca="1" ref="I186" ca="1">_xlfn.IFS(H186&gt;=80,"OLD MAN",H186&gt;=60,"AGED",H186&gt;=30,"MIDDLE AGE",H186&gt;=18,"YOUNG")</f>
        <v>AGED</v>
      </c>
    </row>
    <row r="187" spans="3:9" x14ac:dyDescent="0.3">
      <c r="C187" s="4" t="s">
        <v>812</v>
      </c>
      <c r="D187" s="4">
        <v>1958</v>
      </c>
      <c r="E187" s="4">
        <v>9</v>
      </c>
      <c r="F187" s="4">
        <v>1</v>
      </c>
      <c r="G187" s="15">
        <f t="shared" si="4"/>
        <v>21429</v>
      </c>
      <c r="H187">
        <f t="shared" ca="1" si="5"/>
        <v>67</v>
      </c>
      <c r="I187" t="str" cm="1">
        <f t="array" aca="1" ref="I187" ca="1">_xlfn.IFS(H187&gt;=80,"OLD MAN",H187&gt;=60,"AGED",H187&gt;=30,"MIDDLE AGE",H187&gt;=18,"YOUNG")</f>
        <v>AGED</v>
      </c>
    </row>
    <row r="188" spans="3:9" x14ac:dyDescent="0.3">
      <c r="C188" s="4" t="s">
        <v>812</v>
      </c>
      <c r="D188" s="4">
        <v>1958</v>
      </c>
      <c r="E188" s="4">
        <v>9</v>
      </c>
      <c r="F188" s="4">
        <v>1</v>
      </c>
      <c r="G188" s="15">
        <f t="shared" si="4"/>
        <v>21429</v>
      </c>
      <c r="H188">
        <f t="shared" ca="1" si="5"/>
        <v>67</v>
      </c>
      <c r="I188" t="str" cm="1">
        <f t="array" aca="1" ref="I188" ca="1">_xlfn.IFS(H188&gt;=80,"OLD MAN",H188&gt;=60,"AGED",H188&gt;=30,"MIDDLE AGE",H188&gt;=18,"YOUNG")</f>
        <v>AGED</v>
      </c>
    </row>
    <row r="189" spans="3:9" x14ac:dyDescent="0.3">
      <c r="C189" s="4" t="s">
        <v>812</v>
      </c>
      <c r="D189" s="4">
        <v>1958</v>
      </c>
      <c r="E189" s="4">
        <v>9</v>
      </c>
      <c r="F189" s="4">
        <v>1</v>
      </c>
      <c r="G189" s="15">
        <f t="shared" si="4"/>
        <v>21429</v>
      </c>
      <c r="H189">
        <f t="shared" ca="1" si="5"/>
        <v>67</v>
      </c>
      <c r="I189" t="str" cm="1">
        <f t="array" aca="1" ref="I189" ca="1">_xlfn.IFS(H189&gt;=80,"OLD MAN",H189&gt;=60,"AGED",H189&gt;=30,"MIDDLE AGE",H189&gt;=18,"YOUNG")</f>
        <v>AGED</v>
      </c>
    </row>
    <row r="190" spans="3:9" x14ac:dyDescent="0.3">
      <c r="C190" s="4" t="s">
        <v>816</v>
      </c>
      <c r="D190" s="4">
        <v>1952</v>
      </c>
      <c r="E190" s="4">
        <v>7</v>
      </c>
      <c r="F190" s="4">
        <v>25</v>
      </c>
      <c r="G190" s="15">
        <f t="shared" si="4"/>
        <v>19200</v>
      </c>
      <c r="H190">
        <f t="shared" ca="1" si="5"/>
        <v>73</v>
      </c>
      <c r="I190" t="str" cm="1">
        <f t="array" aca="1" ref="I190" ca="1">_xlfn.IFS(H190&gt;=80,"OLD MAN",H190&gt;=60,"AGED",H190&gt;=30,"MIDDLE AGE",H190&gt;=18,"YOUNG")</f>
        <v>AGED</v>
      </c>
    </row>
    <row r="191" spans="3:9" x14ac:dyDescent="0.3">
      <c r="C191" s="4" t="s">
        <v>820</v>
      </c>
      <c r="D191" s="4">
        <v>1952</v>
      </c>
      <c r="E191" s="4">
        <v>9</v>
      </c>
      <c r="F191" s="4">
        <v>1</v>
      </c>
      <c r="G191" s="15">
        <f t="shared" si="4"/>
        <v>19238</v>
      </c>
      <c r="H191">
        <f t="shared" ca="1" si="5"/>
        <v>73</v>
      </c>
      <c r="I191" t="str" cm="1">
        <f t="array" aca="1" ref="I191" ca="1">_xlfn.IFS(H191&gt;=80,"OLD MAN",H191&gt;=60,"AGED",H191&gt;=30,"MIDDLE AGE",H191&gt;=18,"YOUNG")</f>
        <v>AGED</v>
      </c>
    </row>
    <row r="192" spans="3:9" x14ac:dyDescent="0.3">
      <c r="C192" s="4" t="s">
        <v>825</v>
      </c>
      <c r="D192" s="4">
        <v>1956</v>
      </c>
      <c r="E192" s="4">
        <v>3</v>
      </c>
      <c r="F192" s="4">
        <v>1</v>
      </c>
      <c r="G192" s="15">
        <f t="shared" si="4"/>
        <v>20515</v>
      </c>
      <c r="H192">
        <f t="shared" ca="1" si="5"/>
        <v>70</v>
      </c>
      <c r="I192" t="str" cm="1">
        <f t="array" aca="1" ref="I192" ca="1">_xlfn.IFS(H192&gt;=80,"OLD MAN",H192&gt;=60,"AGED",H192&gt;=30,"MIDDLE AGE",H192&gt;=18,"YOUNG")</f>
        <v>AGED</v>
      </c>
    </row>
    <row r="193" spans="3:9" x14ac:dyDescent="0.3">
      <c r="C193" s="4" t="s">
        <v>829</v>
      </c>
      <c r="D193" s="4">
        <v>1964</v>
      </c>
      <c r="E193" s="4">
        <v>7</v>
      </c>
      <c r="F193" s="4">
        <v>28</v>
      </c>
      <c r="G193" s="15">
        <f t="shared" si="4"/>
        <v>23586</v>
      </c>
      <c r="H193">
        <f t="shared" ca="1" si="5"/>
        <v>61</v>
      </c>
      <c r="I193" t="str" cm="1">
        <f t="array" aca="1" ref="I193" ca="1">_xlfn.IFS(H193&gt;=80,"OLD MAN",H193&gt;=60,"AGED",H193&gt;=30,"MIDDLE AGE",H193&gt;=18,"YOUNG")</f>
        <v>AGED</v>
      </c>
    </row>
    <row r="194" spans="3:9" x14ac:dyDescent="0.3">
      <c r="C194" s="4" t="s">
        <v>832</v>
      </c>
      <c r="D194" s="4">
        <v>1960</v>
      </c>
      <c r="E194" s="4">
        <v>8</v>
      </c>
      <c r="F194" s="4">
        <v>1</v>
      </c>
      <c r="G194" s="15">
        <f t="shared" si="4"/>
        <v>22129</v>
      </c>
      <c r="H194">
        <f t="shared" ca="1" si="5"/>
        <v>65</v>
      </c>
      <c r="I194" t="str" cm="1">
        <f t="array" aca="1" ref="I194" ca="1">_xlfn.IFS(H194&gt;=80,"OLD MAN",H194&gt;=60,"AGED",H194&gt;=30,"MIDDLE AGE",H194&gt;=18,"YOUNG")</f>
        <v>AGED</v>
      </c>
    </row>
    <row r="195" spans="3:9" x14ac:dyDescent="0.3">
      <c r="C195" s="4" t="s">
        <v>835</v>
      </c>
      <c r="D195" s="4">
        <v>1959</v>
      </c>
      <c r="E195" s="4">
        <v>1</v>
      </c>
      <c r="F195" s="4">
        <v>26</v>
      </c>
      <c r="G195" s="15">
        <f t="shared" si="4"/>
        <v>21576</v>
      </c>
      <c r="H195">
        <f t="shared" ca="1" si="5"/>
        <v>67</v>
      </c>
      <c r="I195" t="str" cm="1">
        <f t="array" aca="1" ref="I195" ca="1">_xlfn.IFS(H195&gt;=80,"OLD MAN",H195&gt;=60,"AGED",H195&gt;=30,"MIDDLE AGE",H195&gt;=18,"YOUNG")</f>
        <v>AGED</v>
      </c>
    </row>
    <row r="196" spans="3:9" x14ac:dyDescent="0.3">
      <c r="C196" s="4" t="s">
        <v>837</v>
      </c>
      <c r="D196" s="4">
        <v>1956</v>
      </c>
      <c r="E196" s="4">
        <v>12</v>
      </c>
      <c r="F196" s="4">
        <v>15</v>
      </c>
      <c r="G196" s="15">
        <f t="shared" ref="G196:G259" si="6">DATE(D196,E196,F196)</f>
        <v>20804</v>
      </c>
      <c r="H196">
        <f t="shared" ref="H196:H259" ca="1" si="7">DATEDIF(G196,TODAY(),"Y")</f>
        <v>69</v>
      </c>
      <c r="I196" t="str" cm="1">
        <f t="array" aca="1" ref="I196" ca="1">_xlfn.IFS(H196&gt;=80,"OLD MAN",H196&gt;=60,"AGED",H196&gt;=30,"MIDDLE AGE",H196&gt;=18,"YOUNG")</f>
        <v>AGED</v>
      </c>
    </row>
    <row r="197" spans="3:9" x14ac:dyDescent="0.3">
      <c r="C197" s="4" t="s">
        <v>840</v>
      </c>
      <c r="D197" s="4">
        <v>1952</v>
      </c>
      <c r="E197" s="4">
        <v>4</v>
      </c>
      <c r="F197" s="4">
        <v>1</v>
      </c>
      <c r="G197" s="15">
        <f t="shared" si="6"/>
        <v>19085</v>
      </c>
      <c r="H197">
        <f t="shared" ca="1" si="7"/>
        <v>74</v>
      </c>
      <c r="I197" t="str" cm="1">
        <f t="array" aca="1" ref="I197" ca="1">_xlfn.IFS(H197&gt;=80,"OLD MAN",H197&gt;=60,"AGED",H197&gt;=30,"MIDDLE AGE",H197&gt;=18,"YOUNG")</f>
        <v>AGED</v>
      </c>
    </row>
    <row r="198" spans="3:9" x14ac:dyDescent="0.3">
      <c r="C198" s="4" t="s">
        <v>843</v>
      </c>
      <c r="D198" s="4">
        <v>1928</v>
      </c>
      <c r="E198" s="4">
        <v>10</v>
      </c>
      <c r="F198" s="4">
        <v>1</v>
      </c>
      <c r="G198" s="15">
        <f t="shared" si="6"/>
        <v>10502</v>
      </c>
      <c r="H198">
        <f t="shared" ca="1" si="7"/>
        <v>97</v>
      </c>
      <c r="I198" t="str" cm="1">
        <f t="array" aca="1" ref="I198" ca="1">_xlfn.IFS(H198&gt;=80,"OLD MAN",H198&gt;=60,"AGED",H198&gt;=30,"MIDDLE AGE",H198&gt;=18,"YOUNG")</f>
        <v>OLD MAN</v>
      </c>
    </row>
    <row r="199" spans="3:9" x14ac:dyDescent="0.3">
      <c r="C199" s="4" t="s">
        <v>846</v>
      </c>
      <c r="D199" s="4">
        <v>1965</v>
      </c>
      <c r="E199" s="4">
        <v>9</v>
      </c>
      <c r="F199" s="4">
        <v>22</v>
      </c>
      <c r="G199" s="15">
        <f t="shared" si="6"/>
        <v>24007</v>
      </c>
      <c r="H199">
        <f t="shared" ca="1" si="7"/>
        <v>60</v>
      </c>
      <c r="I199" t="str" cm="1">
        <f t="array" aca="1" ref="I199" ca="1">_xlfn.IFS(H199&gt;=80,"OLD MAN",H199&gt;=60,"AGED",H199&gt;=30,"MIDDLE AGE",H199&gt;=18,"YOUNG")</f>
        <v>AGED</v>
      </c>
    </row>
    <row r="200" spans="3:9" x14ac:dyDescent="0.3">
      <c r="C200" s="4" t="s">
        <v>851</v>
      </c>
      <c r="D200" s="4">
        <v>1979</v>
      </c>
      <c r="E200" s="4">
        <v>2</v>
      </c>
      <c r="F200" s="4">
        <v>18</v>
      </c>
      <c r="G200" s="15">
        <f t="shared" si="6"/>
        <v>28904</v>
      </c>
      <c r="H200">
        <f t="shared" ca="1" si="7"/>
        <v>47</v>
      </c>
      <c r="I200" t="str" cm="1">
        <f t="array" aca="1" ref="I200" ca="1">_xlfn.IFS(H200&gt;=80,"OLD MAN",H200&gt;=60,"AGED",H200&gt;=30,"MIDDLE AGE",H200&gt;=18,"YOUNG")</f>
        <v>MIDDLE AGE</v>
      </c>
    </row>
    <row r="201" spans="3:9" x14ac:dyDescent="0.3">
      <c r="C201" s="4" t="s">
        <v>854</v>
      </c>
      <c r="D201" s="4">
        <v>1981</v>
      </c>
      <c r="E201" s="4">
        <v>8</v>
      </c>
      <c r="F201" s="4">
        <v>29</v>
      </c>
      <c r="G201" s="15">
        <f t="shared" si="6"/>
        <v>29827</v>
      </c>
      <c r="H201">
        <f t="shared" ca="1" si="7"/>
        <v>44</v>
      </c>
      <c r="I201" t="str" cm="1">
        <f t="array" aca="1" ref="I201" ca="1">_xlfn.IFS(H201&gt;=80,"OLD MAN",H201&gt;=60,"AGED",H201&gt;=30,"MIDDLE AGE",H201&gt;=18,"YOUNG")</f>
        <v>MIDDLE AGE</v>
      </c>
    </row>
    <row r="202" spans="3:9" x14ac:dyDescent="0.3">
      <c r="C202" s="4" t="s">
        <v>859</v>
      </c>
      <c r="D202" s="4">
        <v>1947</v>
      </c>
      <c r="E202" s="4">
        <v>5</v>
      </c>
      <c r="F202" s="4">
        <v>2</v>
      </c>
      <c r="G202" s="15">
        <f t="shared" si="6"/>
        <v>17289</v>
      </c>
      <c r="H202">
        <f t="shared" ca="1" si="7"/>
        <v>78</v>
      </c>
      <c r="I202" t="str" cm="1">
        <f t="array" aca="1" ref="I202" ca="1">_xlfn.IFS(H202&gt;=80,"OLD MAN",H202&gt;=60,"AGED",H202&gt;=30,"MIDDLE AGE",H202&gt;=18,"YOUNG")</f>
        <v>AGED</v>
      </c>
    </row>
    <row r="203" spans="3:9" x14ac:dyDescent="0.3">
      <c r="C203" s="4" t="s">
        <v>863</v>
      </c>
      <c r="D203" s="4">
        <v>1966</v>
      </c>
      <c r="E203" s="4">
        <v>10</v>
      </c>
      <c r="F203" s="4">
        <v>24</v>
      </c>
      <c r="G203" s="15">
        <f t="shared" si="6"/>
        <v>24404</v>
      </c>
      <c r="H203">
        <f t="shared" ca="1" si="7"/>
        <v>59</v>
      </c>
      <c r="I203" t="str" cm="1">
        <f t="array" aca="1" ref="I203" ca="1">_xlfn.IFS(H203&gt;=80,"OLD MAN",H203&gt;=60,"AGED",H203&gt;=30,"MIDDLE AGE",H203&gt;=18,"YOUNG")</f>
        <v>MIDDLE AGE</v>
      </c>
    </row>
    <row r="204" spans="3:9" x14ac:dyDescent="0.3">
      <c r="C204" s="4" t="s">
        <v>866</v>
      </c>
      <c r="D204" s="4">
        <v>1943</v>
      </c>
      <c r="E204" s="4">
        <v>9</v>
      </c>
      <c r="F204" s="4">
        <v>6</v>
      </c>
      <c r="G204" s="15">
        <f t="shared" si="6"/>
        <v>15955</v>
      </c>
      <c r="H204">
        <f t="shared" ca="1" si="7"/>
        <v>82</v>
      </c>
      <c r="I204" t="str" cm="1">
        <f t="array" aca="1" ref="I204" ca="1">_xlfn.IFS(H204&gt;=80,"OLD MAN",H204&gt;=60,"AGED",H204&gt;=30,"MIDDLE AGE",H204&gt;=18,"YOUNG")</f>
        <v>OLD MAN</v>
      </c>
    </row>
    <row r="205" spans="3:9" x14ac:dyDescent="0.3">
      <c r="C205" s="4" t="s">
        <v>869</v>
      </c>
      <c r="D205" s="4">
        <v>1975</v>
      </c>
      <c r="E205" s="4">
        <v>7</v>
      </c>
      <c r="F205" s="4">
        <v>9</v>
      </c>
      <c r="G205" s="15">
        <f t="shared" si="6"/>
        <v>27584</v>
      </c>
      <c r="H205">
        <f t="shared" ca="1" si="7"/>
        <v>50</v>
      </c>
      <c r="I205" t="str" cm="1">
        <f t="array" aca="1" ref="I205" ca="1">_xlfn.IFS(H205&gt;=80,"OLD MAN",H205&gt;=60,"AGED",H205&gt;=30,"MIDDLE AGE",H205&gt;=18,"YOUNG")</f>
        <v>MIDDLE AGE</v>
      </c>
    </row>
    <row r="206" spans="3:9" x14ac:dyDescent="0.3">
      <c r="C206" s="4" t="s">
        <v>872</v>
      </c>
      <c r="D206" s="4">
        <v>1941</v>
      </c>
      <c r="E206" s="4">
        <v>3</v>
      </c>
      <c r="F206" s="4">
        <v>7</v>
      </c>
      <c r="G206" s="15">
        <f t="shared" si="6"/>
        <v>15042</v>
      </c>
      <c r="H206">
        <f t="shared" ca="1" si="7"/>
        <v>85</v>
      </c>
      <c r="I206" t="str" cm="1">
        <f t="array" aca="1" ref="I206" ca="1">_xlfn.IFS(H206&gt;=80,"OLD MAN",H206&gt;=60,"AGED",H206&gt;=30,"MIDDLE AGE",H206&gt;=18,"YOUNG")</f>
        <v>OLD MAN</v>
      </c>
    </row>
    <row r="207" spans="3:9" x14ac:dyDescent="0.3">
      <c r="C207" s="4" t="s">
        <v>876</v>
      </c>
      <c r="D207" s="4">
        <v>1945</v>
      </c>
      <c r="E207" s="4">
        <v>7</v>
      </c>
      <c r="F207" s="4">
        <v>24</v>
      </c>
      <c r="G207" s="15">
        <f t="shared" si="6"/>
        <v>16642</v>
      </c>
      <c r="H207">
        <f t="shared" ca="1" si="7"/>
        <v>80</v>
      </c>
      <c r="I207" t="str" cm="1">
        <f t="array" aca="1" ref="I207" ca="1">_xlfn.IFS(H207&gt;=80,"OLD MAN",H207&gt;=60,"AGED",H207&gt;=30,"MIDDLE AGE",H207&gt;=18,"YOUNG")</f>
        <v>OLD MAN</v>
      </c>
    </row>
    <row r="208" spans="3:9" x14ac:dyDescent="0.3">
      <c r="C208" s="4" t="s">
        <v>881</v>
      </c>
      <c r="D208" s="4">
        <v>1937</v>
      </c>
      <c r="E208" s="4">
        <v>7</v>
      </c>
      <c r="F208" s="4">
        <v>29</v>
      </c>
      <c r="G208" s="15">
        <f t="shared" si="6"/>
        <v>13725</v>
      </c>
      <c r="H208">
        <f t="shared" ca="1" si="7"/>
        <v>88</v>
      </c>
      <c r="I208" t="str" cm="1">
        <f t="array" aca="1" ref="I208" ca="1">_xlfn.IFS(H208&gt;=80,"OLD MAN",H208&gt;=60,"AGED",H208&gt;=30,"MIDDLE AGE",H208&gt;=18,"YOUNG")</f>
        <v>OLD MAN</v>
      </c>
    </row>
    <row r="209" spans="3:9" x14ac:dyDescent="0.3">
      <c r="C209" s="4" t="s">
        <v>884</v>
      </c>
      <c r="D209" s="4">
        <v>1960</v>
      </c>
      <c r="E209" s="4">
        <v>1</v>
      </c>
      <c r="F209" s="4">
        <v>1</v>
      </c>
      <c r="G209" s="15">
        <f t="shared" si="6"/>
        <v>21916</v>
      </c>
      <c r="H209">
        <f t="shared" ca="1" si="7"/>
        <v>66</v>
      </c>
      <c r="I209" t="str" cm="1">
        <f t="array" aca="1" ref="I209" ca="1">_xlfn.IFS(H209&gt;=80,"OLD MAN",H209&gt;=60,"AGED",H209&gt;=30,"MIDDLE AGE",H209&gt;=18,"YOUNG")</f>
        <v>AGED</v>
      </c>
    </row>
    <row r="210" spans="3:9" x14ac:dyDescent="0.3">
      <c r="C210" s="4" t="s">
        <v>888</v>
      </c>
      <c r="D210" s="4">
        <v>1951</v>
      </c>
      <c r="E210" s="4">
        <v>3</v>
      </c>
      <c r="F210" s="4">
        <v>29</v>
      </c>
      <c r="G210" s="15">
        <f t="shared" si="6"/>
        <v>18716</v>
      </c>
      <c r="H210">
        <f t="shared" ca="1" si="7"/>
        <v>75</v>
      </c>
      <c r="I210" t="str" cm="1">
        <f t="array" aca="1" ref="I210" ca="1">_xlfn.IFS(H210&gt;=80,"OLD MAN",H210&gt;=60,"AGED",H210&gt;=30,"MIDDLE AGE",H210&gt;=18,"YOUNG")</f>
        <v>AGED</v>
      </c>
    </row>
    <row r="211" spans="3:9" x14ac:dyDescent="0.3">
      <c r="C211" s="4" t="s">
        <v>890</v>
      </c>
      <c r="D211" s="4">
        <v>1957</v>
      </c>
      <c r="E211" s="4">
        <v>1</v>
      </c>
      <c r="F211" s="4">
        <v>7</v>
      </c>
      <c r="G211" s="15">
        <f t="shared" si="6"/>
        <v>20827</v>
      </c>
      <c r="H211">
        <f t="shared" ca="1" si="7"/>
        <v>69</v>
      </c>
      <c r="I211" t="str" cm="1">
        <f t="array" aca="1" ref="I211" ca="1">_xlfn.IFS(H211&gt;=80,"OLD MAN",H211&gt;=60,"AGED",H211&gt;=30,"MIDDLE AGE",H211&gt;=18,"YOUNG")</f>
        <v>AGED</v>
      </c>
    </row>
    <row r="212" spans="3:9" x14ac:dyDescent="0.3">
      <c r="C212" s="4" t="s">
        <v>894</v>
      </c>
      <c r="D212" s="4">
        <v>1967</v>
      </c>
      <c r="E212" s="4">
        <v>7</v>
      </c>
      <c r="F212" s="4">
        <v>7</v>
      </c>
      <c r="G212" s="15">
        <f t="shared" si="6"/>
        <v>24660</v>
      </c>
      <c r="H212">
        <f t="shared" ca="1" si="7"/>
        <v>58</v>
      </c>
      <c r="I212" t="str" cm="1">
        <f t="array" aca="1" ref="I212" ca="1">_xlfn.IFS(H212&gt;=80,"OLD MAN",H212&gt;=60,"AGED",H212&gt;=30,"MIDDLE AGE",H212&gt;=18,"YOUNG")</f>
        <v>MIDDLE AGE</v>
      </c>
    </row>
    <row r="213" spans="3:9" x14ac:dyDescent="0.3">
      <c r="C213" s="4" t="s">
        <v>898</v>
      </c>
      <c r="D213" s="4">
        <v>1950</v>
      </c>
      <c r="E213" s="4">
        <v>3</v>
      </c>
      <c r="F213" s="4">
        <v>10</v>
      </c>
      <c r="G213" s="15">
        <f t="shared" si="6"/>
        <v>18332</v>
      </c>
      <c r="H213">
        <f t="shared" ca="1" si="7"/>
        <v>76</v>
      </c>
      <c r="I213" t="str" cm="1">
        <f t="array" aca="1" ref="I213" ca="1">_xlfn.IFS(H213&gt;=80,"OLD MAN",H213&gt;=60,"AGED",H213&gt;=30,"MIDDLE AGE",H213&gt;=18,"YOUNG")</f>
        <v>AGED</v>
      </c>
    </row>
    <row r="214" spans="3:9" x14ac:dyDescent="0.3">
      <c r="C214" s="4" t="s">
        <v>901</v>
      </c>
      <c r="D214" s="4">
        <v>1966</v>
      </c>
      <c r="E214" s="4">
        <v>2</v>
      </c>
      <c r="F214" s="4">
        <v>24</v>
      </c>
      <c r="G214" s="15">
        <f t="shared" si="6"/>
        <v>24162</v>
      </c>
      <c r="H214">
        <f t="shared" ca="1" si="7"/>
        <v>60</v>
      </c>
      <c r="I214" t="str" cm="1">
        <f t="array" aca="1" ref="I214" ca="1">_xlfn.IFS(H214&gt;=80,"OLD MAN",H214&gt;=60,"AGED",H214&gt;=30,"MIDDLE AGE",H214&gt;=18,"YOUNG")</f>
        <v>AGED</v>
      </c>
    </row>
    <row r="215" spans="3:9" x14ac:dyDescent="0.3">
      <c r="C215" s="4" t="s">
        <v>905</v>
      </c>
      <c r="D215" s="4">
        <v>1955</v>
      </c>
      <c r="E215" s="4">
        <v>1</v>
      </c>
      <c r="F215" s="4">
        <v>1</v>
      </c>
      <c r="G215" s="15">
        <f t="shared" si="6"/>
        <v>20090</v>
      </c>
      <c r="H215">
        <f t="shared" ca="1" si="7"/>
        <v>71</v>
      </c>
      <c r="I215" t="str" cm="1">
        <f t="array" aca="1" ref="I215" ca="1">_xlfn.IFS(H215&gt;=80,"OLD MAN",H215&gt;=60,"AGED",H215&gt;=30,"MIDDLE AGE",H215&gt;=18,"YOUNG")</f>
        <v>AGED</v>
      </c>
    </row>
    <row r="216" spans="3:9" x14ac:dyDescent="0.3">
      <c r="C216" s="4" t="s">
        <v>909</v>
      </c>
      <c r="D216" s="4">
        <v>1960</v>
      </c>
      <c r="E216" s="4">
        <v>1</v>
      </c>
      <c r="F216" s="4">
        <v>1</v>
      </c>
      <c r="G216" s="15">
        <f t="shared" si="6"/>
        <v>21916</v>
      </c>
      <c r="H216">
        <f t="shared" ca="1" si="7"/>
        <v>66</v>
      </c>
      <c r="I216" t="str" cm="1">
        <f t="array" aca="1" ref="I216" ca="1">_xlfn.IFS(H216&gt;=80,"OLD MAN",H216&gt;=60,"AGED",H216&gt;=30,"MIDDLE AGE",H216&gt;=18,"YOUNG")</f>
        <v>AGED</v>
      </c>
    </row>
    <row r="217" spans="3:9" x14ac:dyDescent="0.3">
      <c r="C217" s="4" t="s">
        <v>912</v>
      </c>
      <c r="D217" s="4">
        <v>1952</v>
      </c>
      <c r="E217" s="4">
        <v>6</v>
      </c>
      <c r="F217" s="4">
        <v>6</v>
      </c>
      <c r="G217" s="15">
        <f t="shared" si="6"/>
        <v>19151</v>
      </c>
      <c r="H217">
        <f t="shared" ca="1" si="7"/>
        <v>73</v>
      </c>
      <c r="I217" t="str" cm="1">
        <f t="array" aca="1" ref="I217" ca="1">_xlfn.IFS(H217&gt;=80,"OLD MAN",H217&gt;=60,"AGED",H217&gt;=30,"MIDDLE AGE",H217&gt;=18,"YOUNG")</f>
        <v>AGED</v>
      </c>
    </row>
    <row r="218" spans="3:9" x14ac:dyDescent="0.3">
      <c r="C218" s="4" t="s">
        <v>915</v>
      </c>
      <c r="D218" s="4">
        <v>1975</v>
      </c>
      <c r="E218" s="4">
        <v>10</v>
      </c>
      <c r="F218" s="4">
        <v>16</v>
      </c>
      <c r="G218" s="15">
        <f t="shared" si="6"/>
        <v>27683</v>
      </c>
      <c r="H218">
        <f t="shared" ca="1" si="7"/>
        <v>50</v>
      </c>
      <c r="I218" t="str" cm="1">
        <f t="array" aca="1" ref="I218" ca="1">_xlfn.IFS(H218&gt;=80,"OLD MAN",H218&gt;=60,"AGED",H218&gt;=30,"MIDDLE AGE",H218&gt;=18,"YOUNG")</f>
        <v>MIDDLE AGE</v>
      </c>
    </row>
    <row r="219" spans="3:9" x14ac:dyDescent="0.3">
      <c r="C219" s="4" t="s">
        <v>920</v>
      </c>
      <c r="D219" s="4">
        <v>1951</v>
      </c>
      <c r="E219" s="4">
        <v>6</v>
      </c>
      <c r="F219" s="4">
        <v>29</v>
      </c>
      <c r="G219" s="15">
        <f t="shared" si="6"/>
        <v>18808</v>
      </c>
      <c r="H219">
        <f t="shared" ca="1" si="7"/>
        <v>74</v>
      </c>
      <c r="I219" t="str" cm="1">
        <f t="array" aca="1" ref="I219" ca="1">_xlfn.IFS(H219&gt;=80,"OLD MAN",H219&gt;=60,"AGED",H219&gt;=30,"MIDDLE AGE",H219&gt;=18,"YOUNG")</f>
        <v>AGED</v>
      </c>
    </row>
    <row r="220" spans="3:9" x14ac:dyDescent="0.3">
      <c r="C220" s="4" t="s">
        <v>923</v>
      </c>
      <c r="D220" s="4">
        <v>1974</v>
      </c>
      <c r="E220" s="4">
        <v>3</v>
      </c>
      <c r="F220" s="4">
        <v>10</v>
      </c>
      <c r="G220" s="15">
        <f t="shared" si="6"/>
        <v>27098</v>
      </c>
      <c r="H220">
        <f t="shared" ca="1" si="7"/>
        <v>52</v>
      </c>
      <c r="I220" t="str" cm="1">
        <f t="array" aca="1" ref="I220" ca="1">_xlfn.IFS(H220&gt;=80,"OLD MAN",H220&gt;=60,"AGED",H220&gt;=30,"MIDDLE AGE",H220&gt;=18,"YOUNG")</f>
        <v>MIDDLE AGE</v>
      </c>
    </row>
    <row r="221" spans="3:9" x14ac:dyDescent="0.3">
      <c r="C221" s="4" t="s">
        <v>925</v>
      </c>
      <c r="D221" s="4">
        <v>1984</v>
      </c>
      <c r="E221" s="4">
        <v>5</v>
      </c>
      <c r="F221" s="4">
        <v>22</v>
      </c>
      <c r="G221" s="15">
        <f t="shared" si="6"/>
        <v>30824</v>
      </c>
      <c r="H221">
        <f t="shared" ca="1" si="7"/>
        <v>41</v>
      </c>
      <c r="I221" t="str" cm="1">
        <f t="array" aca="1" ref="I221" ca="1">_xlfn.IFS(H221&gt;=80,"OLD MAN",H221&gt;=60,"AGED",H221&gt;=30,"MIDDLE AGE",H221&gt;=18,"YOUNG")</f>
        <v>MIDDLE AGE</v>
      </c>
    </row>
    <row r="222" spans="3:9" x14ac:dyDescent="0.3">
      <c r="C222" s="4" t="s">
        <v>928</v>
      </c>
      <c r="D222" s="4">
        <v>1967</v>
      </c>
      <c r="E222" s="4">
        <v>6</v>
      </c>
      <c r="F222" s="4">
        <v>21</v>
      </c>
      <c r="G222" s="15">
        <f t="shared" si="6"/>
        <v>24644</v>
      </c>
      <c r="H222">
        <f t="shared" ca="1" si="7"/>
        <v>58</v>
      </c>
      <c r="I222" t="str" cm="1">
        <f t="array" aca="1" ref="I222" ca="1">_xlfn.IFS(H222&gt;=80,"OLD MAN",H222&gt;=60,"AGED",H222&gt;=30,"MIDDLE AGE",H222&gt;=18,"YOUNG")</f>
        <v>MIDDLE AGE</v>
      </c>
    </row>
    <row r="223" spans="3:9" x14ac:dyDescent="0.3">
      <c r="C223" s="4" t="s">
        <v>933</v>
      </c>
      <c r="D223" s="4">
        <v>1959</v>
      </c>
      <c r="E223" s="4">
        <v>1</v>
      </c>
      <c r="F223" s="4">
        <v>1</v>
      </c>
      <c r="G223" s="15">
        <f t="shared" si="6"/>
        <v>21551</v>
      </c>
      <c r="H223">
        <f t="shared" ca="1" si="7"/>
        <v>67</v>
      </c>
      <c r="I223" t="str" cm="1">
        <f t="array" aca="1" ref="I223" ca="1">_xlfn.IFS(H223&gt;=80,"OLD MAN",H223&gt;=60,"AGED",H223&gt;=30,"MIDDLE AGE",H223&gt;=18,"YOUNG")</f>
        <v>AGED</v>
      </c>
    </row>
    <row r="224" spans="3:9" x14ac:dyDescent="0.3">
      <c r="C224" s="4" t="s">
        <v>936</v>
      </c>
      <c r="D224" s="4">
        <v>1951</v>
      </c>
      <c r="E224" s="4">
        <v>1</v>
      </c>
      <c r="F224" s="4">
        <v>1</v>
      </c>
      <c r="G224" s="15">
        <f t="shared" si="6"/>
        <v>18629</v>
      </c>
      <c r="H224">
        <f t="shared" ca="1" si="7"/>
        <v>75</v>
      </c>
      <c r="I224" t="str" cm="1">
        <f t="array" aca="1" ref="I224" ca="1">_xlfn.IFS(H224&gt;=80,"OLD MAN",H224&gt;=60,"AGED",H224&gt;=30,"MIDDLE AGE",H224&gt;=18,"YOUNG")</f>
        <v>AGED</v>
      </c>
    </row>
    <row r="225" spans="3:9" x14ac:dyDescent="0.3">
      <c r="C225" s="4" t="s">
        <v>939</v>
      </c>
      <c r="D225" s="4">
        <v>1971</v>
      </c>
      <c r="E225" s="4">
        <v>1</v>
      </c>
      <c r="F225" s="4">
        <v>1</v>
      </c>
      <c r="G225" s="15">
        <f t="shared" si="6"/>
        <v>25934</v>
      </c>
      <c r="H225">
        <f t="shared" ca="1" si="7"/>
        <v>55</v>
      </c>
      <c r="I225" t="str" cm="1">
        <f t="array" aca="1" ref="I225" ca="1">_xlfn.IFS(H225&gt;=80,"OLD MAN",H225&gt;=60,"AGED",H225&gt;=30,"MIDDLE AGE",H225&gt;=18,"YOUNG")</f>
        <v>MIDDLE AGE</v>
      </c>
    </row>
    <row r="226" spans="3:9" x14ac:dyDescent="0.3">
      <c r="C226" s="4" t="s">
        <v>942</v>
      </c>
      <c r="D226" s="4">
        <v>1943</v>
      </c>
      <c r="E226" s="4">
        <v>4</v>
      </c>
      <c r="F226" s="4">
        <v>12</v>
      </c>
      <c r="G226" s="15">
        <f t="shared" si="6"/>
        <v>15808</v>
      </c>
      <c r="H226">
        <f t="shared" ca="1" si="7"/>
        <v>83</v>
      </c>
      <c r="I226" t="str" cm="1">
        <f t="array" aca="1" ref="I226" ca="1">_xlfn.IFS(H226&gt;=80,"OLD MAN",H226&gt;=60,"AGED",H226&gt;=30,"MIDDLE AGE",H226&gt;=18,"YOUNG")</f>
        <v>OLD MAN</v>
      </c>
    </row>
    <row r="227" spans="3:9" x14ac:dyDescent="0.3">
      <c r="C227" s="4" t="s">
        <v>944</v>
      </c>
      <c r="D227" s="4">
        <v>1951</v>
      </c>
      <c r="E227" s="4">
        <v>7</v>
      </c>
      <c r="F227" s="4">
        <v>31</v>
      </c>
      <c r="G227" s="15">
        <f t="shared" si="6"/>
        <v>18840</v>
      </c>
      <c r="H227">
        <f t="shared" ca="1" si="7"/>
        <v>74</v>
      </c>
      <c r="I227" t="str" cm="1">
        <f t="array" aca="1" ref="I227" ca="1">_xlfn.IFS(H227&gt;=80,"OLD MAN",H227&gt;=60,"AGED",H227&gt;=30,"MIDDLE AGE",H227&gt;=18,"YOUNG")</f>
        <v>AGED</v>
      </c>
    </row>
    <row r="228" spans="3:9" x14ac:dyDescent="0.3">
      <c r="C228" s="4" t="s">
        <v>947</v>
      </c>
      <c r="D228" s="4">
        <v>1955</v>
      </c>
      <c r="E228" s="4">
        <v>6</v>
      </c>
      <c r="F228" s="4">
        <v>6</v>
      </c>
      <c r="G228" s="15">
        <f t="shared" si="6"/>
        <v>20246</v>
      </c>
      <c r="H228">
        <f t="shared" ca="1" si="7"/>
        <v>70</v>
      </c>
      <c r="I228" t="str" cm="1">
        <f t="array" aca="1" ref="I228" ca="1">_xlfn.IFS(H228&gt;=80,"OLD MAN",H228&gt;=60,"AGED",H228&gt;=30,"MIDDLE AGE",H228&gt;=18,"YOUNG")</f>
        <v>AGED</v>
      </c>
    </row>
    <row r="229" spans="3:9" x14ac:dyDescent="0.3">
      <c r="C229" s="4" t="s">
        <v>953</v>
      </c>
      <c r="D229" s="4">
        <v>1954</v>
      </c>
      <c r="E229" s="4">
        <v>11</v>
      </c>
      <c r="F229" s="4">
        <v>28</v>
      </c>
      <c r="G229" s="15">
        <f t="shared" si="6"/>
        <v>20056</v>
      </c>
      <c r="H229">
        <f t="shared" ca="1" si="7"/>
        <v>71</v>
      </c>
      <c r="I229" t="str" cm="1">
        <f t="array" aca="1" ref="I229" ca="1">_xlfn.IFS(H229&gt;=80,"OLD MAN",H229&gt;=60,"AGED",H229&gt;=30,"MIDDLE AGE",H229&gt;=18,"YOUNG")</f>
        <v>AGED</v>
      </c>
    </row>
    <row r="230" spans="3:9" x14ac:dyDescent="0.3">
      <c r="C230" s="4" t="s">
        <v>957</v>
      </c>
      <c r="D230" s="4">
        <v>1944</v>
      </c>
      <c r="E230" s="4">
        <v>1</v>
      </c>
      <c r="F230" s="4">
        <v>21</v>
      </c>
      <c r="G230" s="15">
        <f t="shared" si="6"/>
        <v>16092</v>
      </c>
      <c r="H230">
        <f t="shared" ca="1" si="7"/>
        <v>82</v>
      </c>
      <c r="I230" t="str" cm="1">
        <f t="array" aca="1" ref="I230" ca="1">_xlfn.IFS(H230&gt;=80,"OLD MAN",H230&gt;=60,"AGED",H230&gt;=30,"MIDDLE AGE",H230&gt;=18,"YOUNG")</f>
        <v>OLD MAN</v>
      </c>
    </row>
    <row r="231" spans="3:9" x14ac:dyDescent="0.3">
      <c r="C231" s="4" t="s">
        <v>961</v>
      </c>
      <c r="D231" s="4">
        <v>1948</v>
      </c>
      <c r="E231" s="4">
        <v>1</v>
      </c>
      <c r="F231" s="4">
        <v>1</v>
      </c>
      <c r="G231" s="15">
        <f t="shared" si="6"/>
        <v>17533</v>
      </c>
      <c r="H231">
        <f t="shared" ca="1" si="7"/>
        <v>78</v>
      </c>
      <c r="I231" t="str" cm="1">
        <f t="array" aca="1" ref="I231" ca="1">_xlfn.IFS(H231&gt;=80,"OLD MAN",H231&gt;=60,"AGED",H231&gt;=30,"MIDDLE AGE",H231&gt;=18,"YOUNG")</f>
        <v>AGED</v>
      </c>
    </row>
    <row r="232" spans="3:9" x14ac:dyDescent="0.3">
      <c r="C232" s="4" t="s">
        <v>965</v>
      </c>
      <c r="D232" s="4">
        <v>1949</v>
      </c>
      <c r="E232" s="4">
        <v>12</v>
      </c>
      <c r="F232" s="4">
        <v>13</v>
      </c>
      <c r="G232" s="15">
        <f t="shared" si="6"/>
        <v>18245</v>
      </c>
      <c r="H232">
        <f t="shared" ca="1" si="7"/>
        <v>76</v>
      </c>
      <c r="I232" t="str" cm="1">
        <f t="array" aca="1" ref="I232" ca="1">_xlfn.IFS(H232&gt;=80,"OLD MAN",H232&gt;=60,"AGED",H232&gt;=30,"MIDDLE AGE",H232&gt;=18,"YOUNG")</f>
        <v>AGED</v>
      </c>
    </row>
    <row r="233" spans="3:9" x14ac:dyDescent="0.3">
      <c r="C233" s="4" t="s">
        <v>971</v>
      </c>
      <c r="D233" s="4">
        <v>1955</v>
      </c>
      <c r="E233" s="4">
        <v>9</v>
      </c>
      <c r="F233" s="4">
        <v>30</v>
      </c>
      <c r="G233" s="15">
        <f t="shared" si="6"/>
        <v>20362</v>
      </c>
      <c r="H233">
        <f t="shared" ca="1" si="7"/>
        <v>70</v>
      </c>
      <c r="I233" t="str" cm="1">
        <f t="array" aca="1" ref="I233" ca="1">_xlfn.IFS(H233&gt;=80,"OLD MAN",H233&gt;=60,"AGED",H233&gt;=30,"MIDDLE AGE",H233&gt;=18,"YOUNG")</f>
        <v>AGED</v>
      </c>
    </row>
    <row r="234" spans="3:9" x14ac:dyDescent="0.3">
      <c r="C234" s="4" t="s">
        <v>973</v>
      </c>
      <c r="D234" s="4">
        <v>1975</v>
      </c>
      <c r="E234" s="4">
        <v>6</v>
      </c>
      <c r="F234" s="4">
        <v>21</v>
      </c>
      <c r="G234" s="15">
        <f t="shared" si="6"/>
        <v>27566</v>
      </c>
      <c r="H234">
        <f t="shared" ca="1" si="7"/>
        <v>50</v>
      </c>
      <c r="I234" t="str" cm="1">
        <f t="array" aca="1" ref="I234" ca="1">_xlfn.IFS(H234&gt;=80,"OLD MAN",H234&gt;=60,"AGED",H234&gt;=30,"MIDDLE AGE",H234&gt;=18,"YOUNG")</f>
        <v>MIDDLE AGE</v>
      </c>
    </row>
    <row r="235" spans="3:9" x14ac:dyDescent="0.3">
      <c r="C235" s="4" t="s">
        <v>976</v>
      </c>
      <c r="D235" s="4">
        <v>1948</v>
      </c>
      <c r="E235" s="4">
        <v>12</v>
      </c>
      <c r="F235" s="4">
        <v>18</v>
      </c>
      <c r="G235" s="15">
        <f t="shared" si="6"/>
        <v>17885</v>
      </c>
      <c r="H235">
        <f t="shared" ca="1" si="7"/>
        <v>77</v>
      </c>
      <c r="I235" t="str" cm="1">
        <f t="array" aca="1" ref="I235" ca="1">_xlfn.IFS(H235&gt;=80,"OLD MAN",H235&gt;=60,"AGED",H235&gt;=30,"MIDDLE AGE",H235&gt;=18,"YOUNG")</f>
        <v>AGED</v>
      </c>
    </row>
    <row r="236" spans="3:9" x14ac:dyDescent="0.3">
      <c r="C236" s="4" t="s">
        <v>978</v>
      </c>
      <c r="D236" s="4">
        <v>1968</v>
      </c>
      <c r="E236" s="4">
        <v>1</v>
      </c>
      <c r="F236" s="4">
        <v>1</v>
      </c>
      <c r="G236" s="15">
        <f t="shared" si="6"/>
        <v>24838</v>
      </c>
      <c r="H236">
        <f t="shared" ca="1" si="7"/>
        <v>58</v>
      </c>
      <c r="I236" t="str" cm="1">
        <f t="array" aca="1" ref="I236" ca="1">_xlfn.IFS(H236&gt;=80,"OLD MAN",H236&gt;=60,"AGED",H236&gt;=30,"MIDDLE AGE",H236&gt;=18,"YOUNG")</f>
        <v>MIDDLE AGE</v>
      </c>
    </row>
    <row r="237" spans="3:9" x14ac:dyDescent="0.3">
      <c r="C237" s="4" t="s">
        <v>982</v>
      </c>
      <c r="D237" s="4">
        <v>1947</v>
      </c>
      <c r="E237" s="4">
        <v>11</v>
      </c>
      <c r="F237" s="4">
        <v>29</v>
      </c>
      <c r="G237" s="15">
        <f t="shared" si="6"/>
        <v>17500</v>
      </c>
      <c r="H237">
        <f t="shared" ca="1" si="7"/>
        <v>78</v>
      </c>
      <c r="I237" t="str" cm="1">
        <f t="array" aca="1" ref="I237" ca="1">_xlfn.IFS(H237&gt;=80,"OLD MAN",H237&gt;=60,"AGED",H237&gt;=30,"MIDDLE AGE",H237&gt;=18,"YOUNG")</f>
        <v>AGED</v>
      </c>
    </row>
    <row r="238" spans="3:9" x14ac:dyDescent="0.3">
      <c r="C238" s="4" t="s">
        <v>986</v>
      </c>
      <c r="D238" s="4">
        <v>1945</v>
      </c>
      <c r="E238" s="4">
        <v>6</v>
      </c>
      <c r="F238" s="4">
        <v>8</v>
      </c>
      <c r="G238" s="15">
        <f t="shared" si="6"/>
        <v>16596</v>
      </c>
      <c r="H238">
        <f t="shared" ca="1" si="7"/>
        <v>80</v>
      </c>
      <c r="I238" t="str" cm="1">
        <f t="array" aca="1" ref="I238" ca="1">_xlfn.IFS(H238&gt;=80,"OLD MAN",H238&gt;=60,"AGED",H238&gt;=30,"MIDDLE AGE",H238&gt;=18,"YOUNG")</f>
        <v>OLD MAN</v>
      </c>
    </row>
    <row r="239" spans="3:9" x14ac:dyDescent="0.3">
      <c r="C239" s="4" t="s">
        <v>991</v>
      </c>
      <c r="D239" s="4">
        <v>1950</v>
      </c>
      <c r="E239" s="4">
        <v>5</v>
      </c>
      <c r="F239" s="4">
        <v>21</v>
      </c>
      <c r="G239" s="15">
        <f t="shared" si="6"/>
        <v>18404</v>
      </c>
      <c r="H239">
        <f t="shared" ca="1" si="7"/>
        <v>75</v>
      </c>
      <c r="I239" t="str" cm="1">
        <f t="array" aca="1" ref="I239" ca="1">_xlfn.IFS(H239&gt;=80,"OLD MAN",H239&gt;=60,"AGED",H239&gt;=30,"MIDDLE AGE",H239&gt;=18,"YOUNG")</f>
        <v>AGED</v>
      </c>
    </row>
    <row r="240" spans="3:9" x14ac:dyDescent="0.3">
      <c r="C240" s="4" t="s">
        <v>995</v>
      </c>
      <c r="D240" s="4">
        <v>1946</v>
      </c>
      <c r="E240" s="4">
        <v>1</v>
      </c>
      <c r="F240" s="4">
        <v>1</v>
      </c>
      <c r="G240" s="15">
        <f t="shared" si="6"/>
        <v>16803</v>
      </c>
      <c r="H240">
        <f t="shared" ca="1" si="7"/>
        <v>80</v>
      </c>
      <c r="I240" t="str" cm="1">
        <f t="array" aca="1" ref="I240" ca="1">_xlfn.IFS(H240&gt;=80,"OLD MAN",H240&gt;=60,"AGED",H240&gt;=30,"MIDDLE AGE",H240&gt;=18,"YOUNG")</f>
        <v>OLD MAN</v>
      </c>
    </row>
    <row r="241" spans="3:9" x14ac:dyDescent="0.3">
      <c r="C241" s="4" t="s">
        <v>1000</v>
      </c>
      <c r="D241" s="4">
        <v>1948</v>
      </c>
      <c r="E241" s="4">
        <v>3</v>
      </c>
      <c r="F241" s="4">
        <v>19</v>
      </c>
      <c r="G241" s="15">
        <f t="shared" si="6"/>
        <v>17611</v>
      </c>
      <c r="H241">
        <f t="shared" ca="1" si="7"/>
        <v>78</v>
      </c>
      <c r="I241" t="str" cm="1">
        <f t="array" aca="1" ref="I241" ca="1">_xlfn.IFS(H241&gt;=80,"OLD MAN",H241&gt;=60,"AGED",H241&gt;=30,"MIDDLE AGE",H241&gt;=18,"YOUNG")</f>
        <v>AGED</v>
      </c>
    </row>
    <row r="242" spans="3:9" x14ac:dyDescent="0.3">
      <c r="C242" s="4" t="s">
        <v>1004</v>
      </c>
      <c r="D242" s="4">
        <v>1961</v>
      </c>
      <c r="E242" s="4">
        <v>10</v>
      </c>
      <c r="F242" s="4">
        <v>24</v>
      </c>
      <c r="G242" s="15">
        <f t="shared" si="6"/>
        <v>22578</v>
      </c>
      <c r="H242">
        <f t="shared" ca="1" si="7"/>
        <v>64</v>
      </c>
      <c r="I242" t="str" cm="1">
        <f t="array" aca="1" ref="I242" ca="1">_xlfn.IFS(H242&gt;=80,"OLD MAN",H242&gt;=60,"AGED",H242&gt;=30,"MIDDLE AGE",H242&gt;=18,"YOUNG")</f>
        <v>AGED</v>
      </c>
    </row>
    <row r="243" spans="3:9" x14ac:dyDescent="0.3">
      <c r="C243" s="4" t="s">
        <v>1006</v>
      </c>
      <c r="D243" s="4">
        <v>1960</v>
      </c>
      <c r="E243" s="4">
        <v>8</v>
      </c>
      <c r="F243" s="4">
        <v>4</v>
      </c>
      <c r="G243" s="15">
        <f t="shared" si="6"/>
        <v>22132</v>
      </c>
      <c r="H243">
        <f t="shared" ca="1" si="7"/>
        <v>65</v>
      </c>
      <c r="I243" t="str" cm="1">
        <f t="array" aca="1" ref="I243" ca="1">_xlfn.IFS(H243&gt;=80,"OLD MAN",H243&gt;=60,"AGED",H243&gt;=30,"MIDDLE AGE",H243&gt;=18,"YOUNG")</f>
        <v>AGED</v>
      </c>
    </row>
    <row r="244" spans="3:9" x14ac:dyDescent="0.3">
      <c r="C244" s="4" t="s">
        <v>1009</v>
      </c>
      <c r="D244" s="4">
        <v>1943</v>
      </c>
      <c r="E244" s="4">
        <v>9</v>
      </c>
      <c r="F244" s="4">
        <v>14</v>
      </c>
      <c r="G244" s="15">
        <f t="shared" si="6"/>
        <v>15963</v>
      </c>
      <c r="H244">
        <f t="shared" ca="1" si="7"/>
        <v>82</v>
      </c>
      <c r="I244" t="str" cm="1">
        <f t="array" aca="1" ref="I244" ca="1">_xlfn.IFS(H244&gt;=80,"OLD MAN",H244&gt;=60,"AGED",H244&gt;=30,"MIDDLE AGE",H244&gt;=18,"YOUNG")</f>
        <v>OLD MAN</v>
      </c>
    </row>
    <row r="245" spans="3:9" x14ac:dyDescent="0.3">
      <c r="C245" s="4" t="s">
        <v>1011</v>
      </c>
      <c r="D245" s="4">
        <v>1931</v>
      </c>
      <c r="E245" s="4">
        <v>8</v>
      </c>
      <c r="F245" s="4">
        <v>15</v>
      </c>
      <c r="G245" s="15">
        <f t="shared" si="6"/>
        <v>11550</v>
      </c>
      <c r="H245">
        <f t="shared" ca="1" si="7"/>
        <v>94</v>
      </c>
      <c r="I245" t="str" cm="1">
        <f t="array" aca="1" ref="I245" ca="1">_xlfn.IFS(H245&gt;=80,"OLD MAN",H245&gt;=60,"AGED",H245&gt;=30,"MIDDLE AGE",H245&gt;=18,"YOUNG")</f>
        <v>OLD MAN</v>
      </c>
    </row>
    <row r="246" spans="3:9" x14ac:dyDescent="0.3">
      <c r="C246" s="4" t="s">
        <v>1014</v>
      </c>
      <c r="D246" s="4">
        <v>1954</v>
      </c>
      <c r="E246" s="4">
        <v>10</v>
      </c>
      <c r="F246" s="4">
        <v>1</v>
      </c>
      <c r="G246" s="15">
        <f t="shared" si="6"/>
        <v>19998</v>
      </c>
      <c r="H246">
        <f t="shared" ca="1" si="7"/>
        <v>71</v>
      </c>
      <c r="I246" t="str" cm="1">
        <f t="array" aca="1" ref="I246" ca="1">_xlfn.IFS(H246&gt;=80,"OLD MAN",H246&gt;=60,"AGED",H246&gt;=30,"MIDDLE AGE",H246&gt;=18,"YOUNG")</f>
        <v>AGED</v>
      </c>
    </row>
    <row r="247" spans="3:9" x14ac:dyDescent="0.3">
      <c r="C247" s="4" t="s">
        <v>1016</v>
      </c>
      <c r="D247" s="4">
        <v>1981</v>
      </c>
      <c r="E247" s="4">
        <v>9</v>
      </c>
      <c r="F247" s="4">
        <v>27</v>
      </c>
      <c r="G247" s="15">
        <f t="shared" si="6"/>
        <v>29856</v>
      </c>
      <c r="H247">
        <f t="shared" ca="1" si="7"/>
        <v>44</v>
      </c>
      <c r="I247" t="str" cm="1">
        <f t="array" aca="1" ref="I247" ca="1">_xlfn.IFS(H247&gt;=80,"OLD MAN",H247&gt;=60,"AGED",H247&gt;=30,"MIDDLE AGE",H247&gt;=18,"YOUNG")</f>
        <v>MIDDLE AGE</v>
      </c>
    </row>
    <row r="248" spans="3:9" x14ac:dyDescent="0.3">
      <c r="C248" s="4" t="s">
        <v>1019</v>
      </c>
      <c r="D248" s="4">
        <v>1953</v>
      </c>
      <c r="E248" s="4">
        <v>7</v>
      </c>
      <c r="F248" s="4">
        <v>7</v>
      </c>
      <c r="G248" s="15">
        <f t="shared" si="6"/>
        <v>19547</v>
      </c>
      <c r="H248">
        <f t="shared" ca="1" si="7"/>
        <v>72</v>
      </c>
      <c r="I248" t="str" cm="1">
        <f t="array" aca="1" ref="I248" ca="1">_xlfn.IFS(H248&gt;=80,"OLD MAN",H248&gt;=60,"AGED",H248&gt;=30,"MIDDLE AGE",H248&gt;=18,"YOUNG")</f>
        <v>AGED</v>
      </c>
    </row>
    <row r="249" spans="3:9" x14ac:dyDescent="0.3">
      <c r="C249" s="4" t="s">
        <v>1022</v>
      </c>
      <c r="D249" s="4">
        <v>1957</v>
      </c>
      <c r="E249" s="4">
        <v>3</v>
      </c>
      <c r="F249" s="4">
        <v>26</v>
      </c>
      <c r="G249" s="15">
        <f t="shared" si="6"/>
        <v>20905</v>
      </c>
      <c r="H249">
        <f t="shared" ca="1" si="7"/>
        <v>69</v>
      </c>
      <c r="I249" t="str" cm="1">
        <f t="array" aca="1" ref="I249" ca="1">_xlfn.IFS(H249&gt;=80,"OLD MAN",H249&gt;=60,"AGED",H249&gt;=30,"MIDDLE AGE",H249&gt;=18,"YOUNG")</f>
        <v>AGED</v>
      </c>
    </row>
    <row r="250" spans="3:9" x14ac:dyDescent="0.3">
      <c r="C250" s="4" t="s">
        <v>1024</v>
      </c>
      <c r="D250" s="4">
        <v>1957</v>
      </c>
      <c r="E250" s="4">
        <v>6</v>
      </c>
      <c r="F250" s="4">
        <v>25</v>
      </c>
      <c r="G250" s="15">
        <f t="shared" si="6"/>
        <v>20996</v>
      </c>
      <c r="H250">
        <f t="shared" ca="1" si="7"/>
        <v>68</v>
      </c>
      <c r="I250" t="str" cm="1">
        <f t="array" aca="1" ref="I250" ca="1">_xlfn.IFS(H250&gt;=80,"OLD MAN",H250&gt;=60,"AGED",H250&gt;=30,"MIDDLE AGE",H250&gt;=18,"YOUNG")</f>
        <v>AGED</v>
      </c>
    </row>
    <row r="251" spans="3:9" x14ac:dyDescent="0.3">
      <c r="C251" s="4" t="s">
        <v>1028</v>
      </c>
      <c r="D251" s="4">
        <v>1965</v>
      </c>
      <c r="E251" s="4">
        <v>4</v>
      </c>
      <c r="F251" s="4">
        <v>4</v>
      </c>
      <c r="G251" s="15">
        <f t="shared" si="6"/>
        <v>23836</v>
      </c>
      <c r="H251">
        <f t="shared" ca="1" si="7"/>
        <v>61</v>
      </c>
      <c r="I251" t="str" cm="1">
        <f t="array" aca="1" ref="I251" ca="1">_xlfn.IFS(H251&gt;=80,"OLD MAN",H251&gt;=60,"AGED",H251&gt;=30,"MIDDLE AGE",H251&gt;=18,"YOUNG")</f>
        <v>AGED</v>
      </c>
    </row>
    <row r="252" spans="3:9" x14ac:dyDescent="0.3">
      <c r="C252" s="4" t="s">
        <v>1031</v>
      </c>
      <c r="D252" s="4">
        <v>1969</v>
      </c>
      <c r="E252" s="4">
        <v>3</v>
      </c>
      <c r="F252" s="4">
        <v>15</v>
      </c>
      <c r="G252" s="15">
        <f t="shared" si="6"/>
        <v>25277</v>
      </c>
      <c r="H252">
        <f t="shared" ca="1" si="7"/>
        <v>57</v>
      </c>
      <c r="I252" t="str" cm="1">
        <f t="array" aca="1" ref="I252" ca="1">_xlfn.IFS(H252&gt;=80,"OLD MAN",H252&gt;=60,"AGED",H252&gt;=30,"MIDDLE AGE",H252&gt;=18,"YOUNG")</f>
        <v>MIDDLE AGE</v>
      </c>
    </row>
    <row r="253" spans="3:9" x14ac:dyDescent="0.3">
      <c r="C253" s="4" t="s">
        <v>1036</v>
      </c>
      <c r="D253" s="4">
        <v>1983</v>
      </c>
      <c r="E253" s="4">
        <v>6</v>
      </c>
      <c r="F253" s="4">
        <v>11</v>
      </c>
      <c r="G253" s="15">
        <f t="shared" si="6"/>
        <v>30478</v>
      </c>
      <c r="H253">
        <f t="shared" ca="1" si="7"/>
        <v>42</v>
      </c>
      <c r="I253" t="str" cm="1">
        <f t="array" aca="1" ref="I253" ca="1">_xlfn.IFS(H253&gt;=80,"OLD MAN",H253&gt;=60,"AGED",H253&gt;=30,"MIDDLE AGE",H253&gt;=18,"YOUNG")</f>
        <v>MIDDLE AGE</v>
      </c>
    </row>
    <row r="254" spans="3:9" x14ac:dyDescent="0.3">
      <c r="C254" s="4" t="s">
        <v>1039</v>
      </c>
      <c r="D254" s="4">
        <v>1956</v>
      </c>
      <c r="E254" s="4">
        <v>4</v>
      </c>
      <c r="F254" s="4">
        <v>5</v>
      </c>
      <c r="G254" s="15">
        <f t="shared" si="6"/>
        <v>20550</v>
      </c>
      <c r="H254">
        <f t="shared" ca="1" si="7"/>
        <v>70</v>
      </c>
      <c r="I254" t="str" cm="1">
        <f t="array" aca="1" ref="I254" ca="1">_xlfn.IFS(H254&gt;=80,"OLD MAN",H254&gt;=60,"AGED",H254&gt;=30,"MIDDLE AGE",H254&gt;=18,"YOUNG")</f>
        <v>AGED</v>
      </c>
    </row>
    <row r="255" spans="3:9" x14ac:dyDescent="0.3">
      <c r="C255" s="4" t="s">
        <v>1041</v>
      </c>
      <c r="D255" s="4">
        <v>1929</v>
      </c>
      <c r="E255" s="4">
        <v>5</v>
      </c>
      <c r="F255" s="4">
        <v>12</v>
      </c>
      <c r="G255" s="15">
        <f t="shared" si="6"/>
        <v>10725</v>
      </c>
      <c r="H255">
        <f t="shared" ca="1" si="7"/>
        <v>96</v>
      </c>
      <c r="I255" t="str" cm="1">
        <f t="array" aca="1" ref="I255" ca="1">_xlfn.IFS(H255&gt;=80,"OLD MAN",H255&gt;=60,"AGED",H255&gt;=30,"MIDDLE AGE",H255&gt;=18,"YOUNG")</f>
        <v>OLD MAN</v>
      </c>
    </row>
    <row r="256" spans="3:9" x14ac:dyDescent="0.3">
      <c r="C256" s="4" t="s">
        <v>1044</v>
      </c>
      <c r="D256" s="4">
        <v>1937</v>
      </c>
      <c r="E256" s="4">
        <v>5</v>
      </c>
      <c r="F256" s="4">
        <v>15</v>
      </c>
      <c r="G256" s="15">
        <f t="shared" si="6"/>
        <v>13650</v>
      </c>
      <c r="H256">
        <f t="shared" ca="1" si="7"/>
        <v>88</v>
      </c>
      <c r="I256" t="str" cm="1">
        <f t="array" aca="1" ref="I256" ca="1">_xlfn.IFS(H256&gt;=80,"OLD MAN",H256&gt;=60,"AGED",H256&gt;=30,"MIDDLE AGE",H256&gt;=18,"YOUNG")</f>
        <v>OLD MAN</v>
      </c>
    </row>
    <row r="257" spans="3:9" x14ac:dyDescent="0.3">
      <c r="C257" s="4" t="s">
        <v>1049</v>
      </c>
      <c r="D257" s="4">
        <v>1962</v>
      </c>
      <c r="E257" s="4">
        <v>12</v>
      </c>
      <c r="F257" s="4">
        <v>1</v>
      </c>
      <c r="G257" s="15">
        <f t="shared" si="6"/>
        <v>22981</v>
      </c>
      <c r="H257">
        <f t="shared" ca="1" si="7"/>
        <v>63</v>
      </c>
      <c r="I257" t="str" cm="1">
        <f t="array" aca="1" ref="I257" ca="1">_xlfn.IFS(H257&gt;=80,"OLD MAN",H257&gt;=60,"AGED",H257&gt;=30,"MIDDLE AGE",H257&gt;=18,"YOUNG")</f>
        <v>AGED</v>
      </c>
    </row>
    <row r="258" spans="3:9" x14ac:dyDescent="0.3">
      <c r="C258" s="4" t="s">
        <v>1052</v>
      </c>
      <c r="D258" s="4">
        <v>1964</v>
      </c>
      <c r="E258" s="4">
        <v>5</v>
      </c>
      <c r="F258" s="4">
        <v>15</v>
      </c>
      <c r="G258" s="15">
        <f t="shared" si="6"/>
        <v>23512</v>
      </c>
      <c r="H258">
        <f t="shared" ca="1" si="7"/>
        <v>61</v>
      </c>
      <c r="I258" t="str" cm="1">
        <f t="array" aca="1" ref="I258" ca="1">_xlfn.IFS(H258&gt;=80,"OLD MAN",H258&gt;=60,"AGED",H258&gt;=30,"MIDDLE AGE",H258&gt;=18,"YOUNG")</f>
        <v>AGED</v>
      </c>
    </row>
    <row r="259" spans="3:9" x14ac:dyDescent="0.3">
      <c r="C259" s="4" t="s">
        <v>1055</v>
      </c>
      <c r="D259" s="4">
        <v>1970</v>
      </c>
      <c r="E259" s="4">
        <v>9</v>
      </c>
      <c r="F259" s="4">
        <v>23</v>
      </c>
      <c r="G259" s="15">
        <f t="shared" si="6"/>
        <v>25834</v>
      </c>
      <c r="H259">
        <f t="shared" ca="1" si="7"/>
        <v>55</v>
      </c>
      <c r="I259" t="str" cm="1">
        <f t="array" aca="1" ref="I259" ca="1">_xlfn.IFS(H259&gt;=80,"OLD MAN",H259&gt;=60,"AGED",H259&gt;=30,"MIDDLE AGE",H259&gt;=18,"YOUNG")</f>
        <v>MIDDLE AGE</v>
      </c>
    </row>
    <row r="260" spans="3:9" x14ac:dyDescent="0.3">
      <c r="C260" s="4" t="s">
        <v>1059</v>
      </c>
      <c r="D260" s="4">
        <v>1970</v>
      </c>
      <c r="E260" s="4">
        <v>12</v>
      </c>
      <c r="F260" s="4">
        <v>1</v>
      </c>
      <c r="G260" s="15">
        <f t="shared" ref="G260:G323" si="8">DATE(D260,E260,F260)</f>
        <v>25903</v>
      </c>
      <c r="H260">
        <f t="shared" ref="H260:H323" ca="1" si="9">DATEDIF(G260,TODAY(),"Y")</f>
        <v>55</v>
      </c>
      <c r="I260" t="str" cm="1">
        <f t="array" aca="1" ref="I260" ca="1">_xlfn.IFS(H260&gt;=80,"OLD MAN",H260&gt;=60,"AGED",H260&gt;=30,"MIDDLE AGE",H260&gt;=18,"YOUNG")</f>
        <v>MIDDLE AGE</v>
      </c>
    </row>
    <row r="261" spans="3:9" x14ac:dyDescent="0.3">
      <c r="C261" s="4" t="s">
        <v>1063</v>
      </c>
      <c r="D261" s="4">
        <v>1951</v>
      </c>
      <c r="E261" s="4">
        <v>5</v>
      </c>
      <c r="F261" s="4">
        <v>15</v>
      </c>
      <c r="G261" s="15">
        <f t="shared" si="8"/>
        <v>18763</v>
      </c>
      <c r="H261">
        <f t="shared" ca="1" si="9"/>
        <v>74</v>
      </c>
      <c r="I261" t="str" cm="1">
        <f t="array" aca="1" ref="I261" ca="1">_xlfn.IFS(H261&gt;=80,"OLD MAN",H261&gt;=60,"AGED",H261&gt;=30,"MIDDLE AGE",H261&gt;=18,"YOUNG")</f>
        <v>AGED</v>
      </c>
    </row>
    <row r="262" spans="3:9" x14ac:dyDescent="0.3">
      <c r="C262" s="4" t="s">
        <v>1067</v>
      </c>
      <c r="D262" s="4">
        <v>1968</v>
      </c>
      <c r="E262" s="4">
        <v>6</v>
      </c>
      <c r="F262" s="4">
        <v>23</v>
      </c>
      <c r="G262" s="15">
        <f t="shared" si="8"/>
        <v>25012</v>
      </c>
      <c r="H262">
        <f t="shared" ca="1" si="9"/>
        <v>57</v>
      </c>
      <c r="I262" t="str" cm="1">
        <f t="array" aca="1" ref="I262" ca="1">_xlfn.IFS(H262&gt;=80,"OLD MAN",H262&gt;=60,"AGED",H262&gt;=30,"MIDDLE AGE",H262&gt;=18,"YOUNG")</f>
        <v>MIDDLE AGE</v>
      </c>
    </row>
    <row r="263" spans="3:9" x14ac:dyDescent="0.3">
      <c r="C263" s="4" t="s">
        <v>1071</v>
      </c>
      <c r="D263" s="4">
        <v>1968</v>
      </c>
      <c r="E263" s="4">
        <v>9</v>
      </c>
      <c r="F263" s="4">
        <v>17</v>
      </c>
      <c r="G263" s="15">
        <f t="shared" si="8"/>
        <v>25098</v>
      </c>
      <c r="H263">
        <f t="shared" ca="1" si="9"/>
        <v>57</v>
      </c>
      <c r="I263" t="str" cm="1">
        <f t="array" aca="1" ref="I263" ca="1">_xlfn.IFS(H263&gt;=80,"OLD MAN",H263&gt;=60,"AGED",H263&gt;=30,"MIDDLE AGE",H263&gt;=18,"YOUNG")</f>
        <v>MIDDLE AGE</v>
      </c>
    </row>
    <row r="264" spans="3:9" x14ac:dyDescent="0.3">
      <c r="C264" s="4" t="s">
        <v>1074</v>
      </c>
      <c r="D264" s="4">
        <v>1951</v>
      </c>
      <c r="E264" s="4">
        <v>3</v>
      </c>
      <c r="F264" s="4">
        <v>29</v>
      </c>
      <c r="G264" s="15">
        <f t="shared" si="8"/>
        <v>18716</v>
      </c>
      <c r="H264">
        <f t="shared" ca="1" si="9"/>
        <v>75</v>
      </c>
      <c r="I264" t="str" cm="1">
        <f t="array" aca="1" ref="I264" ca="1">_xlfn.IFS(H264&gt;=80,"OLD MAN",H264&gt;=60,"AGED",H264&gt;=30,"MIDDLE AGE",H264&gt;=18,"YOUNG")</f>
        <v>AGED</v>
      </c>
    </row>
    <row r="265" spans="3:9" x14ac:dyDescent="0.3">
      <c r="C265" s="4" t="s">
        <v>1076</v>
      </c>
      <c r="D265" s="4">
        <v>1966</v>
      </c>
      <c r="E265" s="4">
        <v>1</v>
      </c>
      <c r="F265" s="4">
        <v>30</v>
      </c>
      <c r="G265" s="15">
        <f t="shared" si="8"/>
        <v>24137</v>
      </c>
      <c r="H265">
        <f t="shared" ca="1" si="9"/>
        <v>60</v>
      </c>
      <c r="I265" t="str" cm="1">
        <f t="array" aca="1" ref="I265" ca="1">_xlfn.IFS(H265&gt;=80,"OLD MAN",H265&gt;=60,"AGED",H265&gt;=30,"MIDDLE AGE",H265&gt;=18,"YOUNG")</f>
        <v>AGED</v>
      </c>
    </row>
    <row r="266" spans="3:9" x14ac:dyDescent="0.3">
      <c r="C266" s="4" t="s">
        <v>1079</v>
      </c>
      <c r="D266" s="4">
        <v>1972</v>
      </c>
      <c r="E266" s="4">
        <v>9</v>
      </c>
      <c r="F266" s="4">
        <v>14</v>
      </c>
      <c r="G266" s="15">
        <f t="shared" si="8"/>
        <v>26556</v>
      </c>
      <c r="H266">
        <f t="shared" ca="1" si="9"/>
        <v>53</v>
      </c>
      <c r="I266" t="str" cm="1">
        <f t="array" aca="1" ref="I266" ca="1">_xlfn.IFS(H266&gt;=80,"OLD MAN",H266&gt;=60,"AGED",H266&gt;=30,"MIDDLE AGE",H266&gt;=18,"YOUNG")</f>
        <v>MIDDLE AGE</v>
      </c>
    </row>
    <row r="267" spans="3:9" x14ac:dyDescent="0.3">
      <c r="C267" s="4" t="s">
        <v>1083</v>
      </c>
      <c r="D267" s="4">
        <v>1949</v>
      </c>
      <c r="E267" s="4">
        <v>11</v>
      </c>
      <c r="F267" s="4">
        <v>25</v>
      </c>
      <c r="G267" s="15">
        <f t="shared" si="8"/>
        <v>18227</v>
      </c>
      <c r="H267">
        <f t="shared" ca="1" si="9"/>
        <v>76</v>
      </c>
      <c r="I267" t="str" cm="1">
        <f t="array" aca="1" ref="I267" ca="1">_xlfn.IFS(H267&gt;=80,"OLD MAN",H267&gt;=60,"AGED",H267&gt;=30,"MIDDLE AGE",H267&gt;=18,"YOUNG")</f>
        <v>AGED</v>
      </c>
    </row>
    <row r="268" spans="3:9" x14ac:dyDescent="0.3">
      <c r="C268" s="4" t="s">
        <v>1087</v>
      </c>
      <c r="D268" s="4">
        <v>1956</v>
      </c>
      <c r="E268" s="4">
        <v>7</v>
      </c>
      <c r="F268" s="4">
        <v>1</v>
      </c>
      <c r="G268" s="15">
        <f t="shared" si="8"/>
        <v>20637</v>
      </c>
      <c r="H268">
        <f t="shared" ca="1" si="9"/>
        <v>69</v>
      </c>
      <c r="I268" t="str" cm="1">
        <f t="array" aca="1" ref="I268" ca="1">_xlfn.IFS(H268&gt;=80,"OLD MAN",H268&gt;=60,"AGED",H268&gt;=30,"MIDDLE AGE",H268&gt;=18,"YOUNG")</f>
        <v>AGED</v>
      </c>
    </row>
    <row r="269" spans="3:9" x14ac:dyDescent="0.3">
      <c r="C269" s="4" t="s">
        <v>1090</v>
      </c>
      <c r="D269" s="4">
        <v>1970</v>
      </c>
      <c r="E269" s="4">
        <v>1</v>
      </c>
      <c r="F269" s="4">
        <v>3</v>
      </c>
      <c r="G269" s="15">
        <f t="shared" si="8"/>
        <v>25571</v>
      </c>
      <c r="H269">
        <f t="shared" ca="1" si="9"/>
        <v>56</v>
      </c>
      <c r="I269" t="str" cm="1">
        <f t="array" aca="1" ref="I269" ca="1">_xlfn.IFS(H269&gt;=80,"OLD MAN",H269&gt;=60,"AGED",H269&gt;=30,"MIDDLE AGE",H269&gt;=18,"YOUNG")</f>
        <v>MIDDLE AGE</v>
      </c>
    </row>
    <row r="270" spans="3:9" x14ac:dyDescent="0.3">
      <c r="C270" s="4" t="s">
        <v>1094</v>
      </c>
      <c r="D270" s="4">
        <v>1964</v>
      </c>
      <c r="E270" s="4">
        <v>8</v>
      </c>
      <c r="F270" s="4">
        <v>1</v>
      </c>
      <c r="G270" s="15">
        <f t="shared" si="8"/>
        <v>23590</v>
      </c>
      <c r="H270">
        <f t="shared" ca="1" si="9"/>
        <v>61</v>
      </c>
      <c r="I270" t="str" cm="1">
        <f t="array" aca="1" ref="I270" ca="1">_xlfn.IFS(H270&gt;=80,"OLD MAN",H270&gt;=60,"AGED",H270&gt;=30,"MIDDLE AGE",H270&gt;=18,"YOUNG")</f>
        <v>AGED</v>
      </c>
    </row>
    <row r="271" spans="3:9" x14ac:dyDescent="0.3">
      <c r="C271" s="4" t="s">
        <v>1098</v>
      </c>
      <c r="D271" s="4">
        <v>1967</v>
      </c>
      <c r="E271" s="4">
        <v>6</v>
      </c>
      <c r="F271" s="4">
        <v>5</v>
      </c>
      <c r="G271" s="15">
        <f t="shared" si="8"/>
        <v>24628</v>
      </c>
      <c r="H271">
        <f t="shared" ca="1" si="9"/>
        <v>58</v>
      </c>
      <c r="I271" t="str" cm="1">
        <f t="array" aca="1" ref="I271" ca="1">_xlfn.IFS(H271&gt;=80,"OLD MAN",H271&gt;=60,"AGED",H271&gt;=30,"MIDDLE AGE",H271&gt;=18,"YOUNG")</f>
        <v>MIDDLE AGE</v>
      </c>
    </row>
    <row r="272" spans="3:9" x14ac:dyDescent="0.3">
      <c r="C272" s="4" t="s">
        <v>1100</v>
      </c>
      <c r="D272" s="4">
        <v>1980</v>
      </c>
      <c r="E272" s="4">
        <v>7</v>
      </c>
      <c r="F272" s="4">
        <v>30</v>
      </c>
      <c r="G272" s="15">
        <f t="shared" si="8"/>
        <v>29432</v>
      </c>
      <c r="H272">
        <f t="shared" ca="1" si="9"/>
        <v>45</v>
      </c>
      <c r="I272" t="str" cm="1">
        <f t="array" aca="1" ref="I272" ca="1">_xlfn.IFS(H272&gt;=80,"OLD MAN",H272&gt;=60,"AGED",H272&gt;=30,"MIDDLE AGE",H272&gt;=18,"YOUNG")</f>
        <v>MIDDLE AGE</v>
      </c>
    </row>
    <row r="273" spans="3:9" x14ac:dyDescent="0.3">
      <c r="C273" s="4" t="s">
        <v>1103</v>
      </c>
      <c r="D273" s="4">
        <v>1943</v>
      </c>
      <c r="E273" s="4">
        <v>2</v>
      </c>
      <c r="F273" s="4">
        <v>21</v>
      </c>
      <c r="G273" s="15">
        <f t="shared" si="8"/>
        <v>15758</v>
      </c>
      <c r="H273">
        <f t="shared" ca="1" si="9"/>
        <v>83</v>
      </c>
      <c r="I273" t="str" cm="1">
        <f t="array" aca="1" ref="I273" ca="1">_xlfn.IFS(H273&gt;=80,"OLD MAN",H273&gt;=60,"AGED",H273&gt;=30,"MIDDLE AGE",H273&gt;=18,"YOUNG")</f>
        <v>OLD MAN</v>
      </c>
    </row>
    <row r="274" spans="3:9" x14ac:dyDescent="0.3">
      <c r="C274" s="4" t="s">
        <v>1106</v>
      </c>
      <c r="D274" s="4">
        <v>1968</v>
      </c>
      <c r="E274" s="4">
        <v>11</v>
      </c>
      <c r="F274" s="4">
        <v>17</v>
      </c>
      <c r="G274" s="15">
        <f t="shared" si="8"/>
        <v>25159</v>
      </c>
      <c r="H274">
        <f t="shared" ca="1" si="9"/>
        <v>57</v>
      </c>
      <c r="I274" t="str" cm="1">
        <f t="array" aca="1" ref="I274" ca="1">_xlfn.IFS(H274&gt;=80,"OLD MAN",H274&gt;=60,"AGED",H274&gt;=30,"MIDDLE AGE",H274&gt;=18,"YOUNG")</f>
        <v>MIDDLE AGE</v>
      </c>
    </row>
    <row r="275" spans="3:9" x14ac:dyDescent="0.3">
      <c r="C275" s="4" t="s">
        <v>1108</v>
      </c>
      <c r="D275" s="4">
        <v>1951</v>
      </c>
      <c r="E275" s="4">
        <v>9</v>
      </c>
      <c r="F275" s="4">
        <v>1</v>
      </c>
      <c r="G275" s="15">
        <f t="shared" si="8"/>
        <v>18872</v>
      </c>
      <c r="H275">
        <f t="shared" ca="1" si="9"/>
        <v>74</v>
      </c>
      <c r="I275" t="str" cm="1">
        <f t="array" aca="1" ref="I275" ca="1">_xlfn.IFS(H275&gt;=80,"OLD MAN",H275&gt;=60,"AGED",H275&gt;=30,"MIDDLE AGE",H275&gt;=18,"YOUNG")</f>
        <v>AGED</v>
      </c>
    </row>
    <row r="276" spans="3:9" x14ac:dyDescent="0.3">
      <c r="C276" s="4" t="s">
        <v>1110</v>
      </c>
      <c r="D276" s="4">
        <v>1954</v>
      </c>
      <c r="E276" s="4">
        <v>9</v>
      </c>
      <c r="F276" s="4">
        <v>20</v>
      </c>
      <c r="G276" s="15">
        <f t="shared" si="8"/>
        <v>19987</v>
      </c>
      <c r="H276">
        <f t="shared" ca="1" si="9"/>
        <v>71</v>
      </c>
      <c r="I276" t="str" cm="1">
        <f t="array" aca="1" ref="I276" ca="1">_xlfn.IFS(H276&gt;=80,"OLD MAN",H276&gt;=60,"AGED",H276&gt;=30,"MIDDLE AGE",H276&gt;=18,"YOUNG")</f>
        <v>AGED</v>
      </c>
    </row>
    <row r="277" spans="3:9" x14ac:dyDescent="0.3">
      <c r="C277" s="4" t="s">
        <v>1113</v>
      </c>
      <c r="D277" s="4">
        <v>1955</v>
      </c>
      <c r="E277" s="4">
        <v>1</v>
      </c>
      <c r="F277" s="4">
        <v>3</v>
      </c>
      <c r="G277" s="15">
        <f t="shared" si="8"/>
        <v>20092</v>
      </c>
      <c r="H277">
        <f t="shared" ca="1" si="9"/>
        <v>71</v>
      </c>
      <c r="I277" t="str" cm="1">
        <f t="array" aca="1" ref="I277" ca="1">_xlfn.IFS(H277&gt;=80,"OLD MAN",H277&gt;=60,"AGED",H277&gt;=30,"MIDDLE AGE",H277&gt;=18,"YOUNG")</f>
        <v>AGED</v>
      </c>
    </row>
    <row r="278" spans="3:9" x14ac:dyDescent="0.3">
      <c r="C278" s="4" t="s">
        <v>1115</v>
      </c>
      <c r="D278" s="4">
        <v>1961</v>
      </c>
      <c r="E278" s="4">
        <v>6</v>
      </c>
      <c r="F278" s="4">
        <v>23</v>
      </c>
      <c r="G278" s="15">
        <f t="shared" si="8"/>
        <v>22455</v>
      </c>
      <c r="H278">
        <f t="shared" ca="1" si="9"/>
        <v>64</v>
      </c>
      <c r="I278" t="str" cm="1">
        <f t="array" aca="1" ref="I278" ca="1">_xlfn.IFS(H278&gt;=80,"OLD MAN",H278&gt;=60,"AGED",H278&gt;=30,"MIDDLE AGE",H278&gt;=18,"YOUNG")</f>
        <v>AGED</v>
      </c>
    </row>
    <row r="279" spans="3:9" x14ac:dyDescent="0.3">
      <c r="C279" s="4" t="s">
        <v>1121</v>
      </c>
      <c r="D279" s="4">
        <v>1968</v>
      </c>
      <c r="E279" s="4">
        <v>7</v>
      </c>
      <c r="F279" s="4">
        <v>24</v>
      </c>
      <c r="G279" s="15">
        <f t="shared" si="8"/>
        <v>25043</v>
      </c>
      <c r="H279">
        <f t="shared" ca="1" si="9"/>
        <v>57</v>
      </c>
      <c r="I279" t="str" cm="1">
        <f t="array" aca="1" ref="I279" ca="1">_xlfn.IFS(H279&gt;=80,"OLD MAN",H279&gt;=60,"AGED",H279&gt;=30,"MIDDLE AGE",H279&gt;=18,"YOUNG")</f>
        <v>MIDDLE AGE</v>
      </c>
    </row>
    <row r="280" spans="3:9" x14ac:dyDescent="0.3">
      <c r="C280" s="4" t="s">
        <v>1126</v>
      </c>
      <c r="D280" s="4">
        <v>1933</v>
      </c>
      <c r="E280" s="4">
        <v>9</v>
      </c>
      <c r="F280" s="4">
        <v>19</v>
      </c>
      <c r="G280" s="15">
        <f t="shared" si="8"/>
        <v>12316</v>
      </c>
      <c r="H280">
        <f t="shared" ca="1" si="9"/>
        <v>92</v>
      </c>
      <c r="I280" t="str" cm="1">
        <f t="array" aca="1" ref="I280" ca="1">_xlfn.IFS(H280&gt;=80,"OLD MAN",H280&gt;=60,"AGED",H280&gt;=30,"MIDDLE AGE",H280&gt;=18,"YOUNG")</f>
        <v>OLD MAN</v>
      </c>
    </row>
    <row r="281" spans="3:9" x14ac:dyDescent="0.3">
      <c r="C281" s="4" t="s">
        <v>1129</v>
      </c>
      <c r="D281" s="4">
        <v>1955</v>
      </c>
      <c r="E281" s="4">
        <v>12</v>
      </c>
      <c r="F281" s="4">
        <v>4</v>
      </c>
      <c r="G281" s="15">
        <f t="shared" si="8"/>
        <v>20427</v>
      </c>
      <c r="H281">
        <f t="shared" ca="1" si="9"/>
        <v>70</v>
      </c>
      <c r="I281" t="str" cm="1">
        <f t="array" aca="1" ref="I281" ca="1">_xlfn.IFS(H281&gt;=80,"OLD MAN",H281&gt;=60,"AGED",H281&gt;=30,"MIDDLE AGE",H281&gt;=18,"YOUNG")</f>
        <v>AGED</v>
      </c>
    </row>
    <row r="282" spans="3:9" x14ac:dyDescent="0.3">
      <c r="C282" s="4" t="s">
        <v>1131</v>
      </c>
      <c r="D282" s="4">
        <v>1981</v>
      </c>
      <c r="E282" s="4">
        <v>8</v>
      </c>
      <c r="F282" s="4">
        <v>21</v>
      </c>
      <c r="G282" s="15">
        <f t="shared" si="8"/>
        <v>29819</v>
      </c>
      <c r="H282">
        <f t="shared" ca="1" si="9"/>
        <v>44</v>
      </c>
      <c r="I282" t="str" cm="1">
        <f t="array" aca="1" ref="I282" ca="1">_xlfn.IFS(H282&gt;=80,"OLD MAN",H282&gt;=60,"AGED",H282&gt;=30,"MIDDLE AGE",H282&gt;=18,"YOUNG")</f>
        <v>MIDDLE AGE</v>
      </c>
    </row>
    <row r="283" spans="3:9" x14ac:dyDescent="0.3">
      <c r="C283" s="4" t="s">
        <v>1134</v>
      </c>
      <c r="D283" s="4">
        <v>1959</v>
      </c>
      <c r="E283" s="4">
        <v>1</v>
      </c>
      <c r="F283" s="4">
        <v>1</v>
      </c>
      <c r="G283" s="15">
        <f t="shared" si="8"/>
        <v>21551</v>
      </c>
      <c r="H283">
        <f t="shared" ca="1" si="9"/>
        <v>67</v>
      </c>
      <c r="I283" t="str" cm="1">
        <f t="array" aca="1" ref="I283" ca="1">_xlfn.IFS(H283&gt;=80,"OLD MAN",H283&gt;=60,"AGED",H283&gt;=30,"MIDDLE AGE",H283&gt;=18,"YOUNG")</f>
        <v>AGED</v>
      </c>
    </row>
    <row r="284" spans="3:9" x14ac:dyDescent="0.3">
      <c r="C284" s="4" t="s">
        <v>1136</v>
      </c>
      <c r="D284" s="4">
        <v>1957</v>
      </c>
      <c r="E284" s="4">
        <v>3</v>
      </c>
      <c r="F284" s="4">
        <v>7</v>
      </c>
      <c r="G284" s="15">
        <f t="shared" si="8"/>
        <v>20886</v>
      </c>
      <c r="H284">
        <f t="shared" ca="1" si="9"/>
        <v>69</v>
      </c>
      <c r="I284" t="str" cm="1">
        <f t="array" aca="1" ref="I284" ca="1">_xlfn.IFS(H284&gt;=80,"OLD MAN",H284&gt;=60,"AGED",H284&gt;=30,"MIDDLE AGE",H284&gt;=18,"YOUNG")</f>
        <v>AGED</v>
      </c>
    </row>
    <row r="285" spans="3:9" x14ac:dyDescent="0.3">
      <c r="C285" s="4" t="s">
        <v>1138</v>
      </c>
      <c r="D285" s="4">
        <v>1938</v>
      </c>
      <c r="E285" s="4">
        <v>3</v>
      </c>
      <c r="F285" s="4">
        <v>28</v>
      </c>
      <c r="G285" s="15">
        <f t="shared" si="8"/>
        <v>13967</v>
      </c>
      <c r="H285">
        <f t="shared" ca="1" si="9"/>
        <v>88</v>
      </c>
      <c r="I285" t="str" cm="1">
        <f t="array" aca="1" ref="I285" ca="1">_xlfn.IFS(H285&gt;=80,"OLD MAN",H285&gt;=60,"AGED",H285&gt;=30,"MIDDLE AGE",H285&gt;=18,"YOUNG")</f>
        <v>OLD MAN</v>
      </c>
    </row>
    <row r="286" spans="3:9" x14ac:dyDescent="0.3">
      <c r="C286" s="4" t="s">
        <v>1140</v>
      </c>
      <c r="D286" s="4">
        <v>1961</v>
      </c>
      <c r="E286" s="4">
        <v>1</v>
      </c>
      <c r="F286" s="4">
        <v>1</v>
      </c>
      <c r="G286" s="15">
        <f t="shared" si="8"/>
        <v>22282</v>
      </c>
      <c r="H286">
        <f t="shared" ca="1" si="9"/>
        <v>65</v>
      </c>
      <c r="I286" t="str" cm="1">
        <f t="array" aca="1" ref="I286" ca="1">_xlfn.IFS(H286&gt;=80,"OLD MAN",H286&gt;=60,"AGED",H286&gt;=30,"MIDDLE AGE",H286&gt;=18,"YOUNG")</f>
        <v>AGED</v>
      </c>
    </row>
    <row r="287" spans="3:9" x14ac:dyDescent="0.3">
      <c r="C287" s="4" t="s">
        <v>1142</v>
      </c>
      <c r="D287" s="4">
        <v>1942</v>
      </c>
      <c r="E287" s="4">
        <v>9</v>
      </c>
      <c r="F287" s="4">
        <v>27</v>
      </c>
      <c r="G287" s="15">
        <f t="shared" si="8"/>
        <v>15611</v>
      </c>
      <c r="H287">
        <f t="shared" ca="1" si="9"/>
        <v>83</v>
      </c>
      <c r="I287" t="str" cm="1">
        <f t="array" aca="1" ref="I287" ca="1">_xlfn.IFS(H287&gt;=80,"OLD MAN",H287&gt;=60,"AGED",H287&gt;=30,"MIDDLE AGE",H287&gt;=18,"YOUNG")</f>
        <v>OLD MAN</v>
      </c>
    </row>
    <row r="288" spans="3:9" x14ac:dyDescent="0.3">
      <c r="C288" s="4" t="s">
        <v>1145</v>
      </c>
      <c r="D288" s="4">
        <v>1938</v>
      </c>
      <c r="E288" s="4">
        <v>2</v>
      </c>
      <c r="F288" s="4">
        <v>3</v>
      </c>
      <c r="G288" s="15">
        <f t="shared" si="8"/>
        <v>13914</v>
      </c>
      <c r="H288">
        <f t="shared" ca="1" si="9"/>
        <v>88</v>
      </c>
      <c r="I288" t="str" cm="1">
        <f t="array" aca="1" ref="I288" ca="1">_xlfn.IFS(H288&gt;=80,"OLD MAN",H288&gt;=60,"AGED",H288&gt;=30,"MIDDLE AGE",H288&gt;=18,"YOUNG")</f>
        <v>OLD MAN</v>
      </c>
    </row>
    <row r="289" spans="3:9" x14ac:dyDescent="0.3">
      <c r="C289" s="4" t="s">
        <v>1149</v>
      </c>
      <c r="D289" s="4">
        <v>1964</v>
      </c>
      <c r="E289" s="4">
        <v>1</v>
      </c>
      <c r="F289" s="4">
        <v>1</v>
      </c>
      <c r="G289" s="15">
        <f t="shared" si="8"/>
        <v>23377</v>
      </c>
      <c r="H289">
        <f t="shared" ca="1" si="9"/>
        <v>62</v>
      </c>
      <c r="I289" t="str" cm="1">
        <f t="array" aca="1" ref="I289" ca="1">_xlfn.IFS(H289&gt;=80,"OLD MAN",H289&gt;=60,"AGED",H289&gt;=30,"MIDDLE AGE",H289&gt;=18,"YOUNG")</f>
        <v>AGED</v>
      </c>
    </row>
    <row r="290" spans="3:9" x14ac:dyDescent="0.3">
      <c r="C290" s="4" t="s">
        <v>1151</v>
      </c>
      <c r="D290" s="4">
        <v>1954</v>
      </c>
      <c r="E290" s="4">
        <v>9</v>
      </c>
      <c r="F290" s="4">
        <v>28</v>
      </c>
      <c r="G290" s="15">
        <f t="shared" si="8"/>
        <v>19995</v>
      </c>
      <c r="H290">
        <f t="shared" ca="1" si="9"/>
        <v>71</v>
      </c>
      <c r="I290" t="str" cm="1">
        <f t="array" aca="1" ref="I290" ca="1">_xlfn.IFS(H290&gt;=80,"OLD MAN",H290&gt;=60,"AGED",H290&gt;=30,"MIDDLE AGE",H290&gt;=18,"YOUNG")</f>
        <v>AGED</v>
      </c>
    </row>
    <row r="291" spans="3:9" x14ac:dyDescent="0.3">
      <c r="C291" s="4" t="s">
        <v>1153</v>
      </c>
      <c r="D291" s="4">
        <v>1944</v>
      </c>
      <c r="E291" s="4">
        <v>1</v>
      </c>
      <c r="F291" s="4">
        <v>6</v>
      </c>
      <c r="G291" s="15">
        <f t="shared" si="8"/>
        <v>16077</v>
      </c>
      <c r="H291">
        <f t="shared" ca="1" si="9"/>
        <v>82</v>
      </c>
      <c r="I291" t="str" cm="1">
        <f t="array" aca="1" ref="I291" ca="1">_xlfn.IFS(H291&gt;=80,"OLD MAN",H291&gt;=60,"AGED",H291&gt;=30,"MIDDLE AGE",H291&gt;=18,"YOUNG")</f>
        <v>OLD MAN</v>
      </c>
    </row>
    <row r="292" spans="3:9" x14ac:dyDescent="0.3">
      <c r="C292" s="4" t="s">
        <v>1155</v>
      </c>
      <c r="D292" s="4">
        <v>1970</v>
      </c>
      <c r="E292" s="4">
        <v>7</v>
      </c>
      <c r="F292" s="4">
        <v>1</v>
      </c>
      <c r="G292" s="15">
        <f t="shared" si="8"/>
        <v>25750</v>
      </c>
      <c r="H292">
        <f t="shared" ca="1" si="9"/>
        <v>55</v>
      </c>
      <c r="I292" t="str" cm="1">
        <f t="array" aca="1" ref="I292" ca="1">_xlfn.IFS(H292&gt;=80,"OLD MAN",H292&gt;=60,"AGED",H292&gt;=30,"MIDDLE AGE",H292&gt;=18,"YOUNG")</f>
        <v>MIDDLE AGE</v>
      </c>
    </row>
    <row r="293" spans="3:9" x14ac:dyDescent="0.3">
      <c r="C293" s="4" t="s">
        <v>1158</v>
      </c>
      <c r="D293" s="4">
        <v>1943</v>
      </c>
      <c r="E293" s="4">
        <v>1</v>
      </c>
      <c r="F293" s="4">
        <v>6</v>
      </c>
      <c r="G293" s="15">
        <f t="shared" si="8"/>
        <v>15712</v>
      </c>
      <c r="H293">
        <f t="shared" ca="1" si="9"/>
        <v>83</v>
      </c>
      <c r="I293" t="str" cm="1">
        <f t="array" aca="1" ref="I293" ca="1">_xlfn.IFS(H293&gt;=80,"OLD MAN",H293&gt;=60,"AGED",H293&gt;=30,"MIDDLE AGE",H293&gt;=18,"YOUNG")</f>
        <v>OLD MAN</v>
      </c>
    </row>
    <row r="294" spans="3:9" x14ac:dyDescent="0.3">
      <c r="C294" s="4" t="s">
        <v>1161</v>
      </c>
      <c r="D294" s="4">
        <v>1952</v>
      </c>
      <c r="E294" s="4">
        <v>8</v>
      </c>
      <c r="F294" s="4">
        <v>11</v>
      </c>
      <c r="G294" s="15">
        <f t="shared" si="8"/>
        <v>19217</v>
      </c>
      <c r="H294">
        <f t="shared" ca="1" si="9"/>
        <v>73</v>
      </c>
      <c r="I294" t="str" cm="1">
        <f t="array" aca="1" ref="I294" ca="1">_xlfn.IFS(H294&gt;=80,"OLD MAN",H294&gt;=60,"AGED",H294&gt;=30,"MIDDLE AGE",H294&gt;=18,"YOUNG")</f>
        <v>AGED</v>
      </c>
    </row>
    <row r="295" spans="3:9" x14ac:dyDescent="0.3">
      <c r="C295" s="4" t="s">
        <v>1164</v>
      </c>
      <c r="D295" s="4">
        <v>1964</v>
      </c>
      <c r="E295" s="4">
        <v>1</v>
      </c>
      <c r="F295" s="4">
        <v>1</v>
      </c>
      <c r="G295" s="15">
        <f t="shared" si="8"/>
        <v>23377</v>
      </c>
      <c r="H295">
        <f t="shared" ca="1" si="9"/>
        <v>62</v>
      </c>
      <c r="I295" t="str" cm="1">
        <f t="array" aca="1" ref="I295" ca="1">_xlfn.IFS(H295&gt;=80,"OLD MAN",H295&gt;=60,"AGED",H295&gt;=30,"MIDDLE AGE",H295&gt;=18,"YOUNG")</f>
        <v>AGED</v>
      </c>
    </row>
    <row r="296" spans="3:9" x14ac:dyDescent="0.3">
      <c r="C296" s="4" t="s">
        <v>1167</v>
      </c>
      <c r="D296" s="4">
        <v>1952</v>
      </c>
      <c r="E296" s="4">
        <v>1</v>
      </c>
      <c r="F296" s="4">
        <v>1</v>
      </c>
      <c r="G296" s="15">
        <f t="shared" si="8"/>
        <v>18994</v>
      </c>
      <c r="H296">
        <f t="shared" ca="1" si="9"/>
        <v>74</v>
      </c>
      <c r="I296" t="str" cm="1">
        <f t="array" aca="1" ref="I296" ca="1">_xlfn.IFS(H296&gt;=80,"OLD MAN",H296&gt;=60,"AGED",H296&gt;=30,"MIDDLE AGE",H296&gt;=18,"YOUNG")</f>
        <v>AGED</v>
      </c>
    </row>
    <row r="297" spans="3:9" x14ac:dyDescent="0.3">
      <c r="C297" s="4" t="s">
        <v>1168</v>
      </c>
      <c r="D297" s="4">
        <v>1951</v>
      </c>
      <c r="E297" s="4">
        <v>3</v>
      </c>
      <c r="F297" s="4">
        <v>31</v>
      </c>
      <c r="G297" s="15">
        <f t="shared" si="8"/>
        <v>18718</v>
      </c>
      <c r="H297">
        <f t="shared" ca="1" si="9"/>
        <v>75</v>
      </c>
      <c r="I297" t="str" cm="1">
        <f t="array" aca="1" ref="I297" ca="1">_xlfn.IFS(H297&gt;=80,"OLD MAN",H297&gt;=60,"AGED",H297&gt;=30,"MIDDLE AGE",H297&gt;=18,"YOUNG")</f>
        <v>AGED</v>
      </c>
    </row>
    <row r="298" spans="3:9" x14ac:dyDescent="0.3">
      <c r="C298" s="4" t="s">
        <v>1173</v>
      </c>
      <c r="D298" s="4">
        <v>1961</v>
      </c>
      <c r="E298" s="4">
        <v>1</v>
      </c>
      <c r="F298" s="4">
        <v>19</v>
      </c>
      <c r="G298" s="15">
        <f t="shared" si="8"/>
        <v>22300</v>
      </c>
      <c r="H298">
        <f t="shared" ca="1" si="9"/>
        <v>65</v>
      </c>
      <c r="I298" t="str" cm="1">
        <f t="array" aca="1" ref="I298" ca="1">_xlfn.IFS(H298&gt;=80,"OLD MAN",H298&gt;=60,"AGED",H298&gt;=30,"MIDDLE AGE",H298&gt;=18,"YOUNG")</f>
        <v>AGED</v>
      </c>
    </row>
    <row r="299" spans="3:9" x14ac:dyDescent="0.3">
      <c r="C299" s="4" t="s">
        <v>1180</v>
      </c>
      <c r="D299" s="4">
        <v>1941</v>
      </c>
      <c r="E299" s="4">
        <v>11</v>
      </c>
      <c r="F299" s="4">
        <v>30</v>
      </c>
      <c r="G299" s="15">
        <f t="shared" si="8"/>
        <v>15310</v>
      </c>
      <c r="H299">
        <f t="shared" ca="1" si="9"/>
        <v>84</v>
      </c>
      <c r="I299" t="str" cm="1">
        <f t="array" aca="1" ref="I299" ca="1">_xlfn.IFS(H299&gt;=80,"OLD MAN",H299&gt;=60,"AGED",H299&gt;=30,"MIDDLE AGE",H299&gt;=18,"YOUNG")</f>
        <v>OLD MAN</v>
      </c>
    </row>
    <row r="300" spans="3:9" x14ac:dyDescent="0.3">
      <c r="C300" s="4" t="s">
        <v>1184</v>
      </c>
      <c r="D300" s="4">
        <v>1931</v>
      </c>
      <c r="E300" s="4">
        <v>6</v>
      </c>
      <c r="F300" s="4">
        <v>1</v>
      </c>
      <c r="G300" s="15">
        <f t="shared" si="8"/>
        <v>11475</v>
      </c>
      <c r="H300">
        <f t="shared" ca="1" si="9"/>
        <v>94</v>
      </c>
      <c r="I300" t="str" cm="1">
        <f t="array" aca="1" ref="I300" ca="1">_xlfn.IFS(H300&gt;=80,"OLD MAN",H300&gt;=60,"AGED",H300&gt;=30,"MIDDLE AGE",H300&gt;=18,"YOUNG")</f>
        <v>OLD MAN</v>
      </c>
    </row>
    <row r="301" spans="3:9" x14ac:dyDescent="0.3">
      <c r="C301" s="4" t="s">
        <v>1189</v>
      </c>
      <c r="D301" s="4">
        <v>1963</v>
      </c>
      <c r="E301" s="4">
        <v>12</v>
      </c>
      <c r="F301" s="4">
        <v>5</v>
      </c>
      <c r="G301" s="15">
        <f t="shared" si="8"/>
        <v>23350</v>
      </c>
      <c r="H301">
        <f t="shared" ca="1" si="9"/>
        <v>62</v>
      </c>
      <c r="I301" t="str" cm="1">
        <f t="array" aca="1" ref="I301" ca="1">_xlfn.IFS(H301&gt;=80,"OLD MAN",H301&gt;=60,"AGED",H301&gt;=30,"MIDDLE AGE",H301&gt;=18,"YOUNG")</f>
        <v>AGED</v>
      </c>
    </row>
    <row r="302" spans="3:9" x14ac:dyDescent="0.3">
      <c r="C302" s="4" t="s">
        <v>1193</v>
      </c>
      <c r="D302" s="4">
        <v>1972</v>
      </c>
      <c r="E302" s="4">
        <v>11</v>
      </c>
      <c r="F302" s="4">
        <v>4</v>
      </c>
      <c r="G302" s="15">
        <f t="shared" si="8"/>
        <v>26607</v>
      </c>
      <c r="H302">
        <f t="shared" ca="1" si="9"/>
        <v>53</v>
      </c>
      <c r="I302" t="str" cm="1">
        <f t="array" aca="1" ref="I302" ca="1">_xlfn.IFS(H302&gt;=80,"OLD MAN",H302&gt;=60,"AGED",H302&gt;=30,"MIDDLE AGE",H302&gt;=18,"YOUNG")</f>
        <v>MIDDLE AGE</v>
      </c>
    </row>
    <row r="303" spans="3:9" x14ac:dyDescent="0.3">
      <c r="C303" s="4" t="s">
        <v>1199</v>
      </c>
      <c r="D303" s="4">
        <v>1960</v>
      </c>
      <c r="E303" s="4">
        <v>3</v>
      </c>
      <c r="F303" s="4">
        <v>3</v>
      </c>
      <c r="G303" s="15">
        <f t="shared" si="8"/>
        <v>21978</v>
      </c>
      <c r="H303">
        <f t="shared" ca="1" si="9"/>
        <v>66</v>
      </c>
      <c r="I303" t="str" cm="1">
        <f t="array" aca="1" ref="I303" ca="1">_xlfn.IFS(H303&gt;=80,"OLD MAN",H303&gt;=60,"AGED",H303&gt;=30,"MIDDLE AGE",H303&gt;=18,"YOUNG")</f>
        <v>AGED</v>
      </c>
    </row>
    <row r="304" spans="3:9" x14ac:dyDescent="0.3">
      <c r="C304" s="4" t="s">
        <v>1203</v>
      </c>
      <c r="D304" s="4">
        <v>1967</v>
      </c>
      <c r="E304" s="4">
        <v>6</v>
      </c>
      <c r="F304" s="4">
        <v>3</v>
      </c>
      <c r="G304" s="15">
        <f t="shared" si="8"/>
        <v>24626</v>
      </c>
      <c r="H304">
        <f t="shared" ca="1" si="9"/>
        <v>58</v>
      </c>
      <c r="I304" t="str" cm="1">
        <f t="array" aca="1" ref="I304" ca="1">_xlfn.IFS(H304&gt;=80,"OLD MAN",H304&gt;=60,"AGED",H304&gt;=30,"MIDDLE AGE",H304&gt;=18,"YOUNG")</f>
        <v>MIDDLE AGE</v>
      </c>
    </row>
    <row r="305" spans="3:9" x14ac:dyDescent="0.3">
      <c r="C305" s="4" t="s">
        <v>1206</v>
      </c>
      <c r="D305" s="4">
        <v>1957</v>
      </c>
      <c r="E305" s="4">
        <v>11</v>
      </c>
      <c r="F305" s="4">
        <v>25</v>
      </c>
      <c r="G305" s="15">
        <f t="shared" si="8"/>
        <v>21149</v>
      </c>
      <c r="H305">
        <f t="shared" ca="1" si="9"/>
        <v>68</v>
      </c>
      <c r="I305" t="str" cm="1">
        <f t="array" aca="1" ref="I305" ca="1">_xlfn.IFS(H305&gt;=80,"OLD MAN",H305&gt;=60,"AGED",H305&gt;=30,"MIDDLE AGE",H305&gt;=18,"YOUNG")</f>
        <v>AGED</v>
      </c>
    </row>
    <row r="306" spans="3:9" x14ac:dyDescent="0.3">
      <c r="C306" s="4" t="s">
        <v>1209</v>
      </c>
      <c r="D306" s="4">
        <v>1954</v>
      </c>
      <c r="E306" s="4">
        <v>12</v>
      </c>
      <c r="F306" s="4">
        <v>10</v>
      </c>
      <c r="G306" s="15">
        <f t="shared" si="8"/>
        <v>20068</v>
      </c>
      <c r="H306">
        <f t="shared" ca="1" si="9"/>
        <v>71</v>
      </c>
      <c r="I306" t="str" cm="1">
        <f t="array" aca="1" ref="I306" ca="1">_xlfn.IFS(H306&gt;=80,"OLD MAN",H306&gt;=60,"AGED",H306&gt;=30,"MIDDLE AGE",H306&gt;=18,"YOUNG")</f>
        <v>AGED</v>
      </c>
    </row>
    <row r="307" spans="3:9" x14ac:dyDescent="0.3">
      <c r="C307" s="4" t="s">
        <v>1212</v>
      </c>
      <c r="D307" s="4">
        <v>1943</v>
      </c>
      <c r="E307" s="4">
        <v>6</v>
      </c>
      <c r="F307" s="4">
        <v>13</v>
      </c>
      <c r="G307" s="15">
        <f t="shared" si="8"/>
        <v>15870</v>
      </c>
      <c r="H307">
        <f t="shared" ca="1" si="9"/>
        <v>82</v>
      </c>
      <c r="I307" t="str" cm="1">
        <f t="array" aca="1" ref="I307" ca="1">_xlfn.IFS(H307&gt;=80,"OLD MAN",H307&gt;=60,"AGED",H307&gt;=30,"MIDDLE AGE",H307&gt;=18,"YOUNG")</f>
        <v>OLD MAN</v>
      </c>
    </row>
    <row r="308" spans="3:9" x14ac:dyDescent="0.3">
      <c r="C308" s="4" t="s">
        <v>1217</v>
      </c>
      <c r="D308" s="4">
        <v>1944</v>
      </c>
      <c r="E308" s="4">
        <v>10</v>
      </c>
      <c r="F308" s="4">
        <v>19</v>
      </c>
      <c r="G308" s="15">
        <f t="shared" si="8"/>
        <v>16364</v>
      </c>
      <c r="H308">
        <f t="shared" ca="1" si="9"/>
        <v>81</v>
      </c>
      <c r="I308" t="str" cm="1">
        <f t="array" aca="1" ref="I308" ca="1">_xlfn.IFS(H308&gt;=80,"OLD MAN",H308&gt;=60,"AGED",H308&gt;=30,"MIDDLE AGE",H308&gt;=18,"YOUNG")</f>
        <v>OLD MAN</v>
      </c>
    </row>
    <row r="309" spans="3:9" x14ac:dyDescent="0.3">
      <c r="C309" s="4" t="s">
        <v>1220</v>
      </c>
      <c r="D309" s="4">
        <v>1981</v>
      </c>
      <c r="E309" s="4">
        <v>8</v>
      </c>
      <c r="F309" s="4">
        <v>15</v>
      </c>
      <c r="G309" s="15">
        <f t="shared" si="8"/>
        <v>29813</v>
      </c>
      <c r="H309">
        <f t="shared" ca="1" si="9"/>
        <v>44</v>
      </c>
      <c r="I309" t="str" cm="1">
        <f t="array" aca="1" ref="I309" ca="1">_xlfn.IFS(H309&gt;=80,"OLD MAN",H309&gt;=60,"AGED",H309&gt;=30,"MIDDLE AGE",H309&gt;=18,"YOUNG")</f>
        <v>MIDDLE AGE</v>
      </c>
    </row>
    <row r="310" spans="3:9" x14ac:dyDescent="0.3">
      <c r="C310" s="4" t="s">
        <v>1224</v>
      </c>
      <c r="D310" s="4">
        <v>1961</v>
      </c>
      <c r="E310" s="4">
        <v>7</v>
      </c>
      <c r="F310" s="4">
        <v>12</v>
      </c>
      <c r="G310" s="15">
        <f t="shared" si="8"/>
        <v>22474</v>
      </c>
      <c r="H310">
        <f t="shared" ca="1" si="9"/>
        <v>64</v>
      </c>
      <c r="I310" t="str" cm="1">
        <f t="array" aca="1" ref="I310" ca="1">_xlfn.IFS(H310&gt;=80,"OLD MAN",H310&gt;=60,"AGED",H310&gt;=30,"MIDDLE AGE",H310&gt;=18,"YOUNG")</f>
        <v>AGED</v>
      </c>
    </row>
    <row r="311" spans="3:9" x14ac:dyDescent="0.3">
      <c r="C311" s="4" t="s">
        <v>1228</v>
      </c>
      <c r="D311" s="4">
        <v>1945</v>
      </c>
      <c r="E311" s="4">
        <v>10</v>
      </c>
      <c r="F311" s="4">
        <v>1</v>
      </c>
      <c r="G311" s="15">
        <f t="shared" si="8"/>
        <v>16711</v>
      </c>
      <c r="H311">
        <f t="shared" ca="1" si="9"/>
        <v>80</v>
      </c>
      <c r="I311" t="str" cm="1">
        <f t="array" aca="1" ref="I311" ca="1">_xlfn.IFS(H311&gt;=80,"OLD MAN",H311&gt;=60,"AGED",H311&gt;=30,"MIDDLE AGE",H311&gt;=18,"YOUNG")</f>
        <v>OLD MAN</v>
      </c>
    </row>
    <row r="312" spans="3:9" x14ac:dyDescent="0.3">
      <c r="C312" s="4" t="s">
        <v>1232</v>
      </c>
      <c r="D312" s="4">
        <v>1943</v>
      </c>
      <c r="E312" s="4">
        <v>8</v>
      </c>
      <c r="F312" s="4">
        <v>1</v>
      </c>
      <c r="G312" s="15">
        <f t="shared" si="8"/>
        <v>15919</v>
      </c>
      <c r="H312">
        <f t="shared" ca="1" si="9"/>
        <v>82</v>
      </c>
      <c r="I312" t="str" cm="1">
        <f t="array" aca="1" ref="I312" ca="1">_xlfn.IFS(H312&gt;=80,"OLD MAN",H312&gt;=60,"AGED",H312&gt;=30,"MIDDLE AGE",H312&gt;=18,"YOUNG")</f>
        <v>OLD MAN</v>
      </c>
    </row>
    <row r="313" spans="3:9" x14ac:dyDescent="0.3">
      <c r="C313" s="4" t="s">
        <v>1236</v>
      </c>
      <c r="D313" s="4">
        <v>1947</v>
      </c>
      <c r="E313" s="4">
        <v>1</v>
      </c>
      <c r="F313" s="4">
        <v>3</v>
      </c>
      <c r="G313" s="15">
        <f t="shared" si="8"/>
        <v>17170</v>
      </c>
      <c r="H313">
        <f t="shared" ca="1" si="9"/>
        <v>79</v>
      </c>
      <c r="I313" t="str" cm="1">
        <f t="array" aca="1" ref="I313" ca="1">_xlfn.IFS(H313&gt;=80,"OLD MAN",H313&gt;=60,"AGED",H313&gt;=30,"MIDDLE AGE",H313&gt;=18,"YOUNG")</f>
        <v>AGED</v>
      </c>
    </row>
    <row r="314" spans="3:9" x14ac:dyDescent="0.3">
      <c r="C314" s="4" t="s">
        <v>1239</v>
      </c>
      <c r="D314" s="4">
        <v>1961</v>
      </c>
      <c r="E314" s="4">
        <v>11</v>
      </c>
      <c r="F314" s="4">
        <v>16</v>
      </c>
      <c r="G314" s="15">
        <f t="shared" si="8"/>
        <v>22601</v>
      </c>
      <c r="H314">
        <f t="shared" ca="1" si="9"/>
        <v>64</v>
      </c>
      <c r="I314" t="str" cm="1">
        <f t="array" aca="1" ref="I314" ca="1">_xlfn.IFS(H314&gt;=80,"OLD MAN",H314&gt;=60,"AGED",H314&gt;=30,"MIDDLE AGE",H314&gt;=18,"YOUNG")</f>
        <v>AGED</v>
      </c>
    </row>
    <row r="315" spans="3:9" x14ac:dyDescent="0.3">
      <c r="C315" s="4" t="s">
        <v>1244</v>
      </c>
      <c r="D315" s="4">
        <v>1956</v>
      </c>
      <c r="E315" s="4">
        <v>12</v>
      </c>
      <c r="F315" s="4">
        <v>14</v>
      </c>
      <c r="G315" s="15">
        <f t="shared" si="8"/>
        <v>20803</v>
      </c>
      <c r="H315">
        <f t="shared" ca="1" si="9"/>
        <v>69</v>
      </c>
      <c r="I315" t="str" cm="1">
        <f t="array" aca="1" ref="I315" ca="1">_xlfn.IFS(H315&gt;=80,"OLD MAN",H315&gt;=60,"AGED",H315&gt;=30,"MIDDLE AGE",H315&gt;=18,"YOUNG")</f>
        <v>AGED</v>
      </c>
    </row>
    <row r="316" spans="3:9" x14ac:dyDescent="0.3">
      <c r="C316" s="4" t="s">
        <v>1248</v>
      </c>
      <c r="D316" s="4">
        <v>1950</v>
      </c>
      <c r="E316" s="4">
        <v>10</v>
      </c>
      <c r="F316" s="4">
        <v>30</v>
      </c>
      <c r="G316" s="15">
        <f t="shared" si="8"/>
        <v>18566</v>
      </c>
      <c r="H316">
        <f t="shared" ca="1" si="9"/>
        <v>75</v>
      </c>
      <c r="I316" t="str" cm="1">
        <f t="array" aca="1" ref="I316" ca="1">_xlfn.IFS(H316&gt;=80,"OLD MAN",H316&gt;=60,"AGED",H316&gt;=30,"MIDDLE AGE",H316&gt;=18,"YOUNG")</f>
        <v>AGED</v>
      </c>
    </row>
    <row r="317" spans="3:9" x14ac:dyDescent="0.3">
      <c r="C317" s="4" t="s">
        <v>1253</v>
      </c>
      <c r="D317" s="4">
        <v>1929</v>
      </c>
      <c r="E317" s="4">
        <v>1</v>
      </c>
      <c r="F317" s="4">
        <v>10</v>
      </c>
      <c r="G317" s="15">
        <f t="shared" si="8"/>
        <v>10603</v>
      </c>
      <c r="H317">
        <f t="shared" ca="1" si="9"/>
        <v>97</v>
      </c>
      <c r="I317" t="str" cm="1">
        <f t="array" aca="1" ref="I317" ca="1">_xlfn.IFS(H317&gt;=80,"OLD MAN",H317&gt;=60,"AGED",H317&gt;=30,"MIDDLE AGE",H317&gt;=18,"YOUNG")</f>
        <v>OLD MAN</v>
      </c>
    </row>
    <row r="318" spans="3:9" x14ac:dyDescent="0.3">
      <c r="C318" s="4" t="s">
        <v>1256</v>
      </c>
      <c r="D318" s="4">
        <v>1952</v>
      </c>
      <c r="E318" s="4">
        <v>1</v>
      </c>
      <c r="F318" s="4">
        <v>1</v>
      </c>
      <c r="G318" s="15">
        <f t="shared" si="8"/>
        <v>18994</v>
      </c>
      <c r="H318">
        <f t="shared" ca="1" si="9"/>
        <v>74</v>
      </c>
      <c r="I318" t="str" cm="1">
        <f t="array" aca="1" ref="I318" ca="1">_xlfn.IFS(H318&gt;=80,"OLD MAN",H318&gt;=60,"AGED",H318&gt;=30,"MIDDLE AGE",H318&gt;=18,"YOUNG")</f>
        <v>AGED</v>
      </c>
    </row>
    <row r="319" spans="3:9" x14ac:dyDescent="0.3">
      <c r="C319" s="4" t="s">
        <v>1259</v>
      </c>
      <c r="D319" s="4">
        <v>1964</v>
      </c>
      <c r="E319" s="4">
        <v>9</v>
      </c>
      <c r="F319" s="4">
        <v>25</v>
      </c>
      <c r="G319" s="15">
        <f t="shared" si="8"/>
        <v>23645</v>
      </c>
      <c r="H319">
        <f t="shared" ca="1" si="9"/>
        <v>61</v>
      </c>
      <c r="I319" t="str" cm="1">
        <f t="array" aca="1" ref="I319" ca="1">_xlfn.IFS(H319&gt;=80,"OLD MAN",H319&gt;=60,"AGED",H319&gt;=30,"MIDDLE AGE",H319&gt;=18,"YOUNG")</f>
        <v>AGED</v>
      </c>
    </row>
    <row r="320" spans="3:9" x14ac:dyDescent="0.3">
      <c r="C320" s="4" t="s">
        <v>1262</v>
      </c>
      <c r="D320" s="4">
        <v>1985</v>
      </c>
      <c r="E320" s="4">
        <v>5</v>
      </c>
      <c r="F320" s="4">
        <v>27</v>
      </c>
      <c r="G320" s="15">
        <f t="shared" si="8"/>
        <v>31194</v>
      </c>
      <c r="H320">
        <f t="shared" ca="1" si="9"/>
        <v>40</v>
      </c>
      <c r="I320" t="str" cm="1">
        <f t="array" aca="1" ref="I320" ca="1">_xlfn.IFS(H320&gt;=80,"OLD MAN",H320&gt;=60,"AGED",H320&gt;=30,"MIDDLE AGE",H320&gt;=18,"YOUNG")</f>
        <v>MIDDLE AGE</v>
      </c>
    </row>
    <row r="321" spans="3:9" x14ac:dyDescent="0.3">
      <c r="C321" s="4" t="s">
        <v>1265</v>
      </c>
      <c r="D321" s="4">
        <v>1982</v>
      </c>
      <c r="E321" s="4">
        <v>3</v>
      </c>
      <c r="F321" s="4">
        <v>29</v>
      </c>
      <c r="G321" s="15">
        <f t="shared" si="8"/>
        <v>30039</v>
      </c>
      <c r="H321">
        <f t="shared" ca="1" si="9"/>
        <v>44</v>
      </c>
      <c r="I321" t="str" cm="1">
        <f t="array" aca="1" ref="I321" ca="1">_xlfn.IFS(H321&gt;=80,"OLD MAN",H321&gt;=60,"AGED",H321&gt;=30,"MIDDLE AGE",H321&gt;=18,"YOUNG")</f>
        <v>MIDDLE AGE</v>
      </c>
    </row>
    <row r="322" spans="3:9" x14ac:dyDescent="0.3">
      <c r="C322" s="4" t="s">
        <v>1267</v>
      </c>
      <c r="D322" s="4">
        <v>1945</v>
      </c>
      <c r="E322" s="4">
        <v>7</v>
      </c>
      <c r="F322" s="4">
        <v>23</v>
      </c>
      <c r="G322" s="15">
        <f t="shared" si="8"/>
        <v>16641</v>
      </c>
      <c r="H322">
        <f t="shared" ca="1" si="9"/>
        <v>80</v>
      </c>
      <c r="I322" t="str" cm="1">
        <f t="array" aca="1" ref="I322" ca="1">_xlfn.IFS(H322&gt;=80,"OLD MAN",H322&gt;=60,"AGED",H322&gt;=30,"MIDDLE AGE",H322&gt;=18,"YOUNG")</f>
        <v>OLD MAN</v>
      </c>
    </row>
    <row r="323" spans="3:9" x14ac:dyDescent="0.3">
      <c r="C323" s="4" t="s">
        <v>1271</v>
      </c>
      <c r="D323" s="4">
        <v>1942</v>
      </c>
      <c r="E323" s="4">
        <v>10</v>
      </c>
      <c r="F323" s="4">
        <v>24</v>
      </c>
      <c r="G323" s="15">
        <f t="shared" si="8"/>
        <v>15638</v>
      </c>
      <c r="H323">
        <f t="shared" ca="1" si="9"/>
        <v>83</v>
      </c>
      <c r="I323" t="str" cm="1">
        <f t="array" aca="1" ref="I323" ca="1">_xlfn.IFS(H323&gt;=80,"OLD MAN",H323&gt;=60,"AGED",H323&gt;=30,"MIDDLE AGE",H323&gt;=18,"YOUNG")</f>
        <v>OLD MAN</v>
      </c>
    </row>
    <row r="324" spans="3:9" x14ac:dyDescent="0.3">
      <c r="C324" s="4" t="s">
        <v>1274</v>
      </c>
      <c r="D324" s="4">
        <v>1939</v>
      </c>
      <c r="E324" s="4">
        <v>10</v>
      </c>
      <c r="F324" s="4">
        <v>14</v>
      </c>
      <c r="G324" s="15">
        <f t="shared" ref="G324:G387" si="10">DATE(D324,E324,F324)</f>
        <v>14532</v>
      </c>
      <c r="H324">
        <f t="shared" ref="H324:H387" ca="1" si="11">DATEDIF(G324,TODAY(),"Y")</f>
        <v>86</v>
      </c>
      <c r="I324" t="str" cm="1">
        <f t="array" aca="1" ref="I324" ca="1">_xlfn.IFS(H324&gt;=80,"OLD MAN",H324&gt;=60,"AGED",H324&gt;=30,"MIDDLE AGE",H324&gt;=18,"YOUNG")</f>
        <v>OLD MAN</v>
      </c>
    </row>
    <row r="325" spans="3:9" x14ac:dyDescent="0.3">
      <c r="C325" s="4" t="s">
        <v>1278</v>
      </c>
      <c r="D325" s="4">
        <v>1967</v>
      </c>
      <c r="E325" s="4">
        <v>6</v>
      </c>
      <c r="F325" s="4">
        <v>6</v>
      </c>
      <c r="G325" s="15">
        <f t="shared" si="10"/>
        <v>24629</v>
      </c>
      <c r="H325">
        <f t="shared" ca="1" si="11"/>
        <v>58</v>
      </c>
      <c r="I325" t="str" cm="1">
        <f t="array" aca="1" ref="I325" ca="1">_xlfn.IFS(H325&gt;=80,"OLD MAN",H325&gt;=60,"AGED",H325&gt;=30,"MIDDLE AGE",H325&gt;=18,"YOUNG")</f>
        <v>MIDDLE AGE</v>
      </c>
    </row>
    <row r="326" spans="3:9" x14ac:dyDescent="0.3">
      <c r="C326" s="4" t="s">
        <v>1281</v>
      </c>
      <c r="D326" s="4">
        <v>1964</v>
      </c>
      <c r="E326" s="4">
        <v>9</v>
      </c>
      <c r="F326" s="4">
        <v>6</v>
      </c>
      <c r="G326" s="15">
        <f t="shared" si="10"/>
        <v>23626</v>
      </c>
      <c r="H326">
        <f t="shared" ca="1" si="11"/>
        <v>61</v>
      </c>
      <c r="I326" t="str" cm="1">
        <f t="array" aca="1" ref="I326" ca="1">_xlfn.IFS(H326&gt;=80,"OLD MAN",H326&gt;=60,"AGED",H326&gt;=30,"MIDDLE AGE",H326&gt;=18,"YOUNG")</f>
        <v>AGED</v>
      </c>
    </row>
    <row r="327" spans="3:9" x14ac:dyDescent="0.3">
      <c r="C327" s="4" t="s">
        <v>1283</v>
      </c>
      <c r="D327" s="4">
        <v>1953</v>
      </c>
      <c r="E327" s="4">
        <v>12</v>
      </c>
      <c r="F327" s="4">
        <v>29</v>
      </c>
      <c r="G327" s="15">
        <f t="shared" si="10"/>
        <v>19722</v>
      </c>
      <c r="H327">
        <f t="shared" ca="1" si="11"/>
        <v>72</v>
      </c>
      <c r="I327" t="str" cm="1">
        <f t="array" aca="1" ref="I327" ca="1">_xlfn.IFS(H327&gt;=80,"OLD MAN",H327&gt;=60,"AGED",H327&gt;=30,"MIDDLE AGE",H327&gt;=18,"YOUNG")</f>
        <v>AGED</v>
      </c>
    </row>
    <row r="328" spans="3:9" x14ac:dyDescent="0.3">
      <c r="C328" s="4" t="s">
        <v>1288</v>
      </c>
      <c r="D328" s="4">
        <v>1955</v>
      </c>
      <c r="E328" s="4">
        <v>9</v>
      </c>
      <c r="F328" s="4">
        <v>16</v>
      </c>
      <c r="G328" s="15">
        <f t="shared" si="10"/>
        <v>20348</v>
      </c>
      <c r="H328">
        <f t="shared" ca="1" si="11"/>
        <v>70</v>
      </c>
      <c r="I328" t="str" cm="1">
        <f t="array" aca="1" ref="I328" ca="1">_xlfn.IFS(H328&gt;=80,"OLD MAN",H328&gt;=60,"AGED",H328&gt;=30,"MIDDLE AGE",H328&gt;=18,"YOUNG")</f>
        <v>AGED</v>
      </c>
    </row>
    <row r="329" spans="3:9" x14ac:dyDescent="0.3">
      <c r="C329" s="4" t="s">
        <v>1290</v>
      </c>
      <c r="D329" s="4">
        <v>1952</v>
      </c>
      <c r="E329" s="4">
        <v>2</v>
      </c>
      <c r="F329" s="4">
        <v>26</v>
      </c>
      <c r="G329" s="15">
        <f t="shared" si="10"/>
        <v>19050</v>
      </c>
      <c r="H329">
        <f t="shared" ca="1" si="11"/>
        <v>74</v>
      </c>
      <c r="I329" t="str" cm="1">
        <f t="array" aca="1" ref="I329" ca="1">_xlfn.IFS(H329&gt;=80,"OLD MAN",H329&gt;=60,"AGED",H329&gt;=30,"MIDDLE AGE",H329&gt;=18,"YOUNG")</f>
        <v>AGED</v>
      </c>
    </row>
    <row r="330" spans="3:9" x14ac:dyDescent="0.3">
      <c r="C330" s="4" t="s">
        <v>1293</v>
      </c>
      <c r="D330" s="4">
        <v>1936</v>
      </c>
      <c r="E330" s="4">
        <v>1</v>
      </c>
      <c r="F330" s="4">
        <v>1</v>
      </c>
      <c r="G330" s="15">
        <f t="shared" si="10"/>
        <v>13150</v>
      </c>
      <c r="H330">
        <f t="shared" ca="1" si="11"/>
        <v>90</v>
      </c>
      <c r="I330" t="str" cm="1">
        <f t="array" aca="1" ref="I330" ca="1">_xlfn.IFS(H330&gt;=80,"OLD MAN",H330&gt;=60,"AGED",H330&gt;=30,"MIDDLE AGE",H330&gt;=18,"YOUNG")</f>
        <v>OLD MAN</v>
      </c>
    </row>
    <row r="331" spans="3:9" x14ac:dyDescent="0.3">
      <c r="C331" s="4" t="s">
        <v>1297</v>
      </c>
      <c r="D331" s="4">
        <v>1934</v>
      </c>
      <c r="E331" s="4">
        <v>1</v>
      </c>
      <c r="F331" s="4">
        <v>1</v>
      </c>
      <c r="G331" s="15">
        <f t="shared" si="10"/>
        <v>12420</v>
      </c>
      <c r="H331">
        <f t="shared" ca="1" si="11"/>
        <v>92</v>
      </c>
      <c r="I331" t="str" cm="1">
        <f t="array" aca="1" ref="I331" ca="1">_xlfn.IFS(H331&gt;=80,"OLD MAN",H331&gt;=60,"AGED",H331&gt;=30,"MIDDLE AGE",H331&gt;=18,"YOUNG")</f>
        <v>OLD MAN</v>
      </c>
    </row>
    <row r="332" spans="3:9" x14ac:dyDescent="0.3">
      <c r="C332" s="4" t="s">
        <v>1302</v>
      </c>
      <c r="D332" s="4">
        <v>1967</v>
      </c>
      <c r="E332" s="4">
        <v>9</v>
      </c>
      <c r="F332" s="4">
        <v>16</v>
      </c>
      <c r="G332" s="15">
        <f t="shared" si="10"/>
        <v>24731</v>
      </c>
      <c r="H332">
        <f t="shared" ca="1" si="11"/>
        <v>58</v>
      </c>
      <c r="I332" t="str" cm="1">
        <f t="array" aca="1" ref="I332" ca="1">_xlfn.IFS(H332&gt;=80,"OLD MAN",H332&gt;=60,"AGED",H332&gt;=30,"MIDDLE AGE",H332&gt;=18,"YOUNG")</f>
        <v>MIDDLE AGE</v>
      </c>
    </row>
    <row r="333" spans="3:9" x14ac:dyDescent="0.3">
      <c r="C333" s="4" t="s">
        <v>1306</v>
      </c>
      <c r="D333" s="4">
        <v>1964</v>
      </c>
      <c r="E333" s="4">
        <v>9</v>
      </c>
      <c r="F333" s="4">
        <v>22</v>
      </c>
      <c r="G333" s="15">
        <f t="shared" si="10"/>
        <v>23642</v>
      </c>
      <c r="H333">
        <f t="shared" ca="1" si="11"/>
        <v>61</v>
      </c>
      <c r="I333" t="str" cm="1">
        <f t="array" aca="1" ref="I333" ca="1">_xlfn.IFS(H333&gt;=80,"OLD MAN",H333&gt;=60,"AGED",H333&gt;=30,"MIDDLE AGE",H333&gt;=18,"YOUNG")</f>
        <v>AGED</v>
      </c>
    </row>
    <row r="334" spans="3:9" x14ac:dyDescent="0.3">
      <c r="C334" s="4" t="s">
        <v>1310</v>
      </c>
      <c r="D334" s="4">
        <v>1942</v>
      </c>
      <c r="E334" s="4">
        <v>9</v>
      </c>
      <c r="F334" s="4">
        <v>20</v>
      </c>
      <c r="G334" s="15">
        <f t="shared" si="10"/>
        <v>15604</v>
      </c>
      <c r="H334">
        <f t="shared" ca="1" si="11"/>
        <v>83</v>
      </c>
      <c r="I334" t="str" cm="1">
        <f t="array" aca="1" ref="I334" ca="1">_xlfn.IFS(H334&gt;=80,"OLD MAN",H334&gt;=60,"AGED",H334&gt;=30,"MIDDLE AGE",H334&gt;=18,"YOUNG")</f>
        <v>OLD MAN</v>
      </c>
    </row>
    <row r="335" spans="3:9" x14ac:dyDescent="0.3">
      <c r="C335" s="4" t="s">
        <v>1313</v>
      </c>
      <c r="D335" s="4">
        <v>1968</v>
      </c>
      <c r="E335" s="4">
        <v>7</v>
      </c>
      <c r="F335" s="4">
        <v>9</v>
      </c>
      <c r="G335" s="15">
        <f t="shared" si="10"/>
        <v>25028</v>
      </c>
      <c r="H335">
        <f t="shared" ca="1" si="11"/>
        <v>57</v>
      </c>
      <c r="I335" t="str" cm="1">
        <f t="array" aca="1" ref="I335" ca="1">_xlfn.IFS(H335&gt;=80,"OLD MAN",H335&gt;=60,"AGED",H335&gt;=30,"MIDDLE AGE",H335&gt;=18,"YOUNG")</f>
        <v>MIDDLE AGE</v>
      </c>
    </row>
    <row r="336" spans="3:9" x14ac:dyDescent="0.3">
      <c r="C336" s="4" t="s">
        <v>1316</v>
      </c>
      <c r="D336" s="4">
        <v>1954</v>
      </c>
      <c r="E336" s="4">
        <v>5</v>
      </c>
      <c r="F336" s="4">
        <v>1</v>
      </c>
      <c r="G336" s="15">
        <f t="shared" si="10"/>
        <v>19845</v>
      </c>
      <c r="H336">
        <f t="shared" ca="1" si="11"/>
        <v>71</v>
      </c>
      <c r="I336" t="str" cm="1">
        <f t="array" aca="1" ref="I336" ca="1">_xlfn.IFS(H336&gt;=80,"OLD MAN",H336&gt;=60,"AGED",H336&gt;=30,"MIDDLE AGE",H336&gt;=18,"YOUNG")</f>
        <v>AGED</v>
      </c>
    </row>
    <row r="337" spans="3:9" x14ac:dyDescent="0.3">
      <c r="C337" s="4" t="s">
        <v>1321</v>
      </c>
      <c r="D337" s="4">
        <v>1964</v>
      </c>
      <c r="E337" s="4">
        <v>3</v>
      </c>
      <c r="F337" s="4">
        <v>9</v>
      </c>
      <c r="G337" s="15">
        <f t="shared" si="10"/>
        <v>23445</v>
      </c>
      <c r="H337">
        <f t="shared" ca="1" si="11"/>
        <v>62</v>
      </c>
      <c r="I337" t="str" cm="1">
        <f t="array" aca="1" ref="I337" ca="1">_xlfn.IFS(H337&gt;=80,"OLD MAN",H337&gt;=60,"AGED",H337&gt;=30,"MIDDLE AGE",H337&gt;=18,"YOUNG")</f>
        <v>AGED</v>
      </c>
    </row>
    <row r="338" spans="3:9" x14ac:dyDescent="0.3">
      <c r="C338" s="4" t="s">
        <v>1324</v>
      </c>
      <c r="D338" s="4">
        <v>1936</v>
      </c>
      <c r="E338" s="4">
        <v>9</v>
      </c>
      <c r="F338" s="4">
        <v>29</v>
      </c>
      <c r="G338" s="15">
        <f t="shared" si="10"/>
        <v>13422</v>
      </c>
      <c r="H338">
        <f t="shared" ca="1" si="11"/>
        <v>89</v>
      </c>
      <c r="I338" t="str" cm="1">
        <f t="array" aca="1" ref="I338" ca="1">_xlfn.IFS(H338&gt;=80,"OLD MAN",H338&gt;=60,"AGED",H338&gt;=30,"MIDDLE AGE",H338&gt;=18,"YOUNG")</f>
        <v>OLD MAN</v>
      </c>
    </row>
    <row r="339" spans="3:9" x14ac:dyDescent="0.3">
      <c r="C339" s="4" t="s">
        <v>1327</v>
      </c>
      <c r="D339" s="4">
        <v>1967</v>
      </c>
      <c r="E339" s="4">
        <v>9</v>
      </c>
      <c r="F339" s="4">
        <v>26</v>
      </c>
      <c r="G339" s="15">
        <f t="shared" si="10"/>
        <v>24741</v>
      </c>
      <c r="H339">
        <f t="shared" ca="1" si="11"/>
        <v>58</v>
      </c>
      <c r="I339" t="str" cm="1">
        <f t="array" aca="1" ref="I339" ca="1">_xlfn.IFS(H339&gt;=80,"OLD MAN",H339&gt;=60,"AGED",H339&gt;=30,"MIDDLE AGE",H339&gt;=18,"YOUNG")</f>
        <v>MIDDLE AGE</v>
      </c>
    </row>
    <row r="340" spans="3:9" x14ac:dyDescent="0.3">
      <c r="C340" s="4" t="s">
        <v>1332</v>
      </c>
      <c r="D340" s="4">
        <v>1982</v>
      </c>
      <c r="E340" s="4">
        <v>11</v>
      </c>
      <c r="F340" s="4">
        <v>1</v>
      </c>
      <c r="G340" s="15">
        <f t="shared" si="10"/>
        <v>30256</v>
      </c>
      <c r="H340">
        <f t="shared" ca="1" si="11"/>
        <v>43</v>
      </c>
      <c r="I340" t="str" cm="1">
        <f t="array" aca="1" ref="I340" ca="1">_xlfn.IFS(H340&gt;=80,"OLD MAN",H340&gt;=60,"AGED",H340&gt;=30,"MIDDLE AGE",H340&gt;=18,"YOUNG")</f>
        <v>MIDDLE AGE</v>
      </c>
    </row>
    <row r="341" spans="3:9" x14ac:dyDescent="0.3">
      <c r="C341" s="4" t="s">
        <v>1334</v>
      </c>
      <c r="D341" s="4">
        <v>1969</v>
      </c>
      <c r="E341" s="4">
        <v>8</v>
      </c>
      <c r="F341" s="4">
        <v>12</v>
      </c>
      <c r="G341" s="15">
        <f t="shared" si="10"/>
        <v>25427</v>
      </c>
      <c r="H341">
        <f t="shared" ca="1" si="11"/>
        <v>56</v>
      </c>
      <c r="I341" t="str" cm="1">
        <f t="array" aca="1" ref="I341" ca="1">_xlfn.IFS(H341&gt;=80,"OLD MAN",H341&gt;=60,"AGED",H341&gt;=30,"MIDDLE AGE",H341&gt;=18,"YOUNG")</f>
        <v>MIDDLE AGE</v>
      </c>
    </row>
    <row r="342" spans="3:9" x14ac:dyDescent="0.3">
      <c r="C342" s="4" t="s">
        <v>1337</v>
      </c>
      <c r="D342" s="4">
        <v>1964</v>
      </c>
      <c r="E342" s="4">
        <v>11</v>
      </c>
      <c r="F342" s="4">
        <v>18</v>
      </c>
      <c r="G342" s="15">
        <f t="shared" si="10"/>
        <v>23699</v>
      </c>
      <c r="H342">
        <f t="shared" ca="1" si="11"/>
        <v>61</v>
      </c>
      <c r="I342" t="str" cm="1">
        <f t="array" aca="1" ref="I342" ca="1">_xlfn.IFS(H342&gt;=80,"OLD MAN",H342&gt;=60,"AGED",H342&gt;=30,"MIDDLE AGE",H342&gt;=18,"YOUNG")</f>
        <v>AGED</v>
      </c>
    </row>
    <row r="343" spans="3:9" x14ac:dyDescent="0.3">
      <c r="C343" s="4" t="s">
        <v>1340</v>
      </c>
      <c r="D343" s="4">
        <v>1961</v>
      </c>
      <c r="E343" s="4">
        <v>11</v>
      </c>
      <c r="F343" s="4">
        <v>11</v>
      </c>
      <c r="G343" s="15">
        <f t="shared" si="10"/>
        <v>22596</v>
      </c>
      <c r="H343">
        <f t="shared" ca="1" si="11"/>
        <v>64</v>
      </c>
      <c r="I343" t="str" cm="1">
        <f t="array" aca="1" ref="I343" ca="1">_xlfn.IFS(H343&gt;=80,"OLD MAN",H343&gt;=60,"AGED",H343&gt;=30,"MIDDLE AGE",H343&gt;=18,"YOUNG")</f>
        <v>AGED</v>
      </c>
    </row>
    <row r="344" spans="3:9" x14ac:dyDescent="0.3">
      <c r="C344" s="4" t="s">
        <v>1344</v>
      </c>
      <c r="D344" s="4">
        <v>1929</v>
      </c>
      <c r="E344" s="4">
        <v>1</v>
      </c>
      <c r="F344" s="4">
        <v>3</v>
      </c>
      <c r="G344" s="15">
        <f t="shared" si="10"/>
        <v>10596</v>
      </c>
      <c r="H344">
        <f t="shared" ca="1" si="11"/>
        <v>97</v>
      </c>
      <c r="I344" t="str" cm="1">
        <f t="array" aca="1" ref="I344" ca="1">_xlfn.IFS(H344&gt;=80,"OLD MAN",H344&gt;=60,"AGED",H344&gt;=30,"MIDDLE AGE",H344&gt;=18,"YOUNG")</f>
        <v>OLD MAN</v>
      </c>
    </row>
    <row r="345" spans="3:9" x14ac:dyDescent="0.3">
      <c r="C345" s="4" t="s">
        <v>1348</v>
      </c>
      <c r="D345" s="4">
        <v>1969</v>
      </c>
      <c r="E345" s="4">
        <v>12</v>
      </c>
      <c r="F345" s="4">
        <v>21</v>
      </c>
      <c r="G345" s="15">
        <f t="shared" si="10"/>
        <v>25558</v>
      </c>
      <c r="H345">
        <f t="shared" ca="1" si="11"/>
        <v>56</v>
      </c>
      <c r="I345" t="str" cm="1">
        <f t="array" aca="1" ref="I345" ca="1">_xlfn.IFS(H345&gt;=80,"OLD MAN",H345&gt;=60,"AGED",H345&gt;=30,"MIDDLE AGE",H345&gt;=18,"YOUNG")</f>
        <v>MIDDLE AGE</v>
      </c>
    </row>
    <row r="346" spans="3:9" x14ac:dyDescent="0.3">
      <c r="C346" s="4" t="s">
        <v>1351</v>
      </c>
      <c r="D346" s="4">
        <v>1961</v>
      </c>
      <c r="E346" s="4">
        <v>7</v>
      </c>
      <c r="F346" s="4">
        <v>15</v>
      </c>
      <c r="G346" s="15">
        <f t="shared" si="10"/>
        <v>22477</v>
      </c>
      <c r="H346">
        <f t="shared" ca="1" si="11"/>
        <v>64</v>
      </c>
      <c r="I346" t="str" cm="1">
        <f t="array" aca="1" ref="I346" ca="1">_xlfn.IFS(H346&gt;=80,"OLD MAN",H346&gt;=60,"AGED",H346&gt;=30,"MIDDLE AGE",H346&gt;=18,"YOUNG")</f>
        <v>AGED</v>
      </c>
    </row>
    <row r="347" spans="3:9" x14ac:dyDescent="0.3">
      <c r="C347" s="4" t="s">
        <v>1354</v>
      </c>
      <c r="D347" s="4">
        <v>1957</v>
      </c>
      <c r="E347" s="4">
        <v>4</v>
      </c>
      <c r="F347" s="4">
        <v>14</v>
      </c>
      <c r="G347" s="15">
        <f t="shared" si="10"/>
        <v>20924</v>
      </c>
      <c r="H347">
        <f t="shared" ca="1" si="11"/>
        <v>69</v>
      </c>
      <c r="I347" t="str" cm="1">
        <f t="array" aca="1" ref="I347" ca="1">_xlfn.IFS(H347&gt;=80,"OLD MAN",H347&gt;=60,"AGED",H347&gt;=30,"MIDDLE AGE",H347&gt;=18,"YOUNG")</f>
        <v>AGED</v>
      </c>
    </row>
    <row r="348" spans="3:9" x14ac:dyDescent="0.3">
      <c r="C348" s="4" t="s">
        <v>1357</v>
      </c>
      <c r="D348" s="4">
        <v>1964</v>
      </c>
      <c r="E348" s="4">
        <v>12</v>
      </c>
      <c r="F348" s="4">
        <v>14</v>
      </c>
      <c r="G348" s="15">
        <f t="shared" si="10"/>
        <v>23725</v>
      </c>
      <c r="H348">
        <f t="shared" ca="1" si="11"/>
        <v>61</v>
      </c>
      <c r="I348" t="str" cm="1">
        <f t="array" aca="1" ref="I348" ca="1">_xlfn.IFS(H348&gt;=80,"OLD MAN",H348&gt;=60,"AGED",H348&gt;=30,"MIDDLE AGE",H348&gt;=18,"YOUNG")</f>
        <v>AGED</v>
      </c>
    </row>
    <row r="349" spans="3:9" x14ac:dyDescent="0.3">
      <c r="C349" s="4" t="s">
        <v>1359</v>
      </c>
      <c r="D349" s="4">
        <v>1961</v>
      </c>
      <c r="E349" s="4">
        <v>8</v>
      </c>
      <c r="F349" s="4">
        <v>28</v>
      </c>
      <c r="G349" s="15">
        <f t="shared" si="10"/>
        <v>22521</v>
      </c>
      <c r="H349">
        <f t="shared" ca="1" si="11"/>
        <v>64</v>
      </c>
      <c r="I349" t="str" cm="1">
        <f t="array" aca="1" ref="I349" ca="1">_xlfn.IFS(H349&gt;=80,"OLD MAN",H349&gt;=60,"AGED",H349&gt;=30,"MIDDLE AGE",H349&gt;=18,"YOUNG")</f>
        <v>AGED</v>
      </c>
    </row>
    <row r="350" spans="3:9" x14ac:dyDescent="0.3">
      <c r="C350" s="4" t="s">
        <v>1362</v>
      </c>
      <c r="D350" s="4">
        <v>1950</v>
      </c>
      <c r="E350" s="4">
        <v>11</v>
      </c>
      <c r="F350" s="4">
        <v>29</v>
      </c>
      <c r="G350" s="15">
        <f t="shared" si="10"/>
        <v>18596</v>
      </c>
      <c r="H350">
        <f t="shared" ca="1" si="11"/>
        <v>75</v>
      </c>
      <c r="I350" t="str" cm="1">
        <f t="array" aca="1" ref="I350" ca="1">_xlfn.IFS(H350&gt;=80,"OLD MAN",H350&gt;=60,"AGED",H350&gt;=30,"MIDDLE AGE",H350&gt;=18,"YOUNG")</f>
        <v>AGED</v>
      </c>
    </row>
    <row r="351" spans="3:9" x14ac:dyDescent="0.3">
      <c r="C351" s="4" t="s">
        <v>1365</v>
      </c>
      <c r="D351" s="4">
        <v>1966</v>
      </c>
      <c r="E351" s="4">
        <v>10</v>
      </c>
      <c r="F351" s="4">
        <v>27</v>
      </c>
      <c r="G351" s="15">
        <f t="shared" si="10"/>
        <v>24407</v>
      </c>
      <c r="H351">
        <f t="shared" ca="1" si="11"/>
        <v>59</v>
      </c>
      <c r="I351" t="str" cm="1">
        <f t="array" aca="1" ref="I351" ca="1">_xlfn.IFS(H351&gt;=80,"OLD MAN",H351&gt;=60,"AGED",H351&gt;=30,"MIDDLE AGE",H351&gt;=18,"YOUNG")</f>
        <v>MIDDLE AGE</v>
      </c>
    </row>
    <row r="352" spans="3:9" x14ac:dyDescent="0.3">
      <c r="C352" s="4" t="s">
        <v>1368</v>
      </c>
      <c r="D352" s="4">
        <v>1947</v>
      </c>
      <c r="E352" s="4">
        <v>12</v>
      </c>
      <c r="F352" s="4">
        <v>27</v>
      </c>
      <c r="G352" s="15">
        <f t="shared" si="10"/>
        <v>17528</v>
      </c>
      <c r="H352">
        <f t="shared" ca="1" si="11"/>
        <v>78</v>
      </c>
      <c r="I352" t="str" cm="1">
        <f t="array" aca="1" ref="I352" ca="1">_xlfn.IFS(H352&gt;=80,"OLD MAN",H352&gt;=60,"AGED",H352&gt;=30,"MIDDLE AGE",H352&gt;=18,"YOUNG")</f>
        <v>AGED</v>
      </c>
    </row>
    <row r="353" spans="3:9" x14ac:dyDescent="0.3">
      <c r="C353" s="4" t="s">
        <v>1373</v>
      </c>
      <c r="D353" s="4">
        <v>1976</v>
      </c>
      <c r="E353" s="4">
        <v>1</v>
      </c>
      <c r="F353" s="4">
        <v>1</v>
      </c>
      <c r="G353" s="15">
        <f t="shared" si="10"/>
        <v>27760</v>
      </c>
      <c r="H353">
        <f t="shared" ca="1" si="11"/>
        <v>50</v>
      </c>
      <c r="I353" t="str" cm="1">
        <f t="array" aca="1" ref="I353" ca="1">_xlfn.IFS(H353&gt;=80,"OLD MAN",H353&gt;=60,"AGED",H353&gt;=30,"MIDDLE AGE",H353&gt;=18,"YOUNG")</f>
        <v>MIDDLE AGE</v>
      </c>
    </row>
    <row r="354" spans="3:9" x14ac:dyDescent="0.3">
      <c r="C354" s="4" t="s">
        <v>1375</v>
      </c>
      <c r="D354" s="4">
        <v>1979</v>
      </c>
      <c r="E354" s="4">
        <v>1</v>
      </c>
      <c r="F354" s="4">
        <v>1</v>
      </c>
      <c r="G354" s="15">
        <f t="shared" si="10"/>
        <v>28856</v>
      </c>
      <c r="H354">
        <f t="shared" ca="1" si="11"/>
        <v>47</v>
      </c>
      <c r="I354" t="str" cm="1">
        <f t="array" aca="1" ref="I354" ca="1">_xlfn.IFS(H354&gt;=80,"OLD MAN",H354&gt;=60,"AGED",H354&gt;=30,"MIDDLE AGE",H354&gt;=18,"YOUNG")</f>
        <v>MIDDLE AGE</v>
      </c>
    </row>
    <row r="355" spans="3:9" x14ac:dyDescent="0.3">
      <c r="C355" s="4" t="s">
        <v>1377</v>
      </c>
      <c r="D355" s="4">
        <v>1943</v>
      </c>
      <c r="E355" s="4">
        <v>1</v>
      </c>
      <c r="F355" s="4">
        <v>1</v>
      </c>
      <c r="G355" s="15">
        <f t="shared" si="10"/>
        <v>15707</v>
      </c>
      <c r="H355">
        <f t="shared" ca="1" si="11"/>
        <v>83</v>
      </c>
      <c r="I355" t="str" cm="1">
        <f t="array" aca="1" ref="I355" ca="1">_xlfn.IFS(H355&gt;=80,"OLD MAN",H355&gt;=60,"AGED",H355&gt;=30,"MIDDLE AGE",H355&gt;=18,"YOUNG")</f>
        <v>OLD MAN</v>
      </c>
    </row>
    <row r="356" spans="3:9" x14ac:dyDescent="0.3">
      <c r="C356" s="4" t="s">
        <v>1381</v>
      </c>
      <c r="D356" s="4">
        <v>1968</v>
      </c>
      <c r="E356" s="4">
        <v>1</v>
      </c>
      <c r="F356" s="4">
        <v>1</v>
      </c>
      <c r="G356" s="15">
        <f t="shared" si="10"/>
        <v>24838</v>
      </c>
      <c r="H356">
        <f t="shared" ca="1" si="11"/>
        <v>58</v>
      </c>
      <c r="I356" t="str" cm="1">
        <f t="array" aca="1" ref="I356" ca="1">_xlfn.IFS(H356&gt;=80,"OLD MAN",H356&gt;=60,"AGED",H356&gt;=30,"MIDDLE AGE",H356&gt;=18,"YOUNG")</f>
        <v>MIDDLE AGE</v>
      </c>
    </row>
    <row r="357" spans="3:9" x14ac:dyDescent="0.3">
      <c r="C357" s="4" t="s">
        <v>1383</v>
      </c>
      <c r="D357" s="4">
        <v>1962</v>
      </c>
      <c r="E357" s="4">
        <v>8</v>
      </c>
      <c r="F357" s="4">
        <v>1</v>
      </c>
      <c r="G357" s="15">
        <f t="shared" si="10"/>
        <v>22859</v>
      </c>
      <c r="H357">
        <f t="shared" ca="1" si="11"/>
        <v>63</v>
      </c>
      <c r="I357" t="str" cm="1">
        <f t="array" aca="1" ref="I357" ca="1">_xlfn.IFS(H357&gt;=80,"OLD MAN",H357&gt;=60,"AGED",H357&gt;=30,"MIDDLE AGE",H357&gt;=18,"YOUNG")</f>
        <v>AGED</v>
      </c>
    </row>
    <row r="358" spans="3:9" x14ac:dyDescent="0.3">
      <c r="C358" s="4" t="s">
        <v>1386</v>
      </c>
      <c r="D358" s="4">
        <v>1969</v>
      </c>
      <c r="E358" s="4">
        <v>1</v>
      </c>
      <c r="F358" s="4">
        <v>1</v>
      </c>
      <c r="G358" s="15">
        <f t="shared" si="10"/>
        <v>25204</v>
      </c>
      <c r="H358">
        <f t="shared" ca="1" si="11"/>
        <v>57</v>
      </c>
      <c r="I358" t="str" cm="1">
        <f t="array" aca="1" ref="I358" ca="1">_xlfn.IFS(H358&gt;=80,"OLD MAN",H358&gt;=60,"AGED",H358&gt;=30,"MIDDLE AGE",H358&gt;=18,"YOUNG")</f>
        <v>MIDDLE AGE</v>
      </c>
    </row>
    <row r="359" spans="3:9" x14ac:dyDescent="0.3">
      <c r="C359" s="4" t="s">
        <v>1390</v>
      </c>
      <c r="D359" s="4">
        <v>1967</v>
      </c>
      <c r="E359" s="4">
        <v>8</v>
      </c>
      <c r="F359" s="4">
        <v>25</v>
      </c>
      <c r="G359" s="15">
        <f t="shared" si="10"/>
        <v>24709</v>
      </c>
      <c r="H359">
        <f t="shared" ca="1" si="11"/>
        <v>58</v>
      </c>
      <c r="I359" t="str" cm="1">
        <f t="array" aca="1" ref="I359" ca="1">_xlfn.IFS(H359&gt;=80,"OLD MAN",H359&gt;=60,"AGED",H359&gt;=30,"MIDDLE AGE",H359&gt;=18,"YOUNG")</f>
        <v>MIDDLE AGE</v>
      </c>
    </row>
    <row r="360" spans="3:9" x14ac:dyDescent="0.3">
      <c r="C360" s="4" t="s">
        <v>1393</v>
      </c>
      <c r="D360" s="4">
        <v>1951</v>
      </c>
      <c r="E360" s="4">
        <v>3</v>
      </c>
      <c r="F360" s="4">
        <v>27</v>
      </c>
      <c r="G360" s="15">
        <f t="shared" si="10"/>
        <v>18714</v>
      </c>
      <c r="H360">
        <f t="shared" ca="1" si="11"/>
        <v>75</v>
      </c>
      <c r="I360" t="str" cm="1">
        <f t="array" aca="1" ref="I360" ca="1">_xlfn.IFS(H360&gt;=80,"OLD MAN",H360&gt;=60,"AGED",H360&gt;=30,"MIDDLE AGE",H360&gt;=18,"YOUNG")</f>
        <v>AGED</v>
      </c>
    </row>
    <row r="361" spans="3:9" x14ac:dyDescent="0.3">
      <c r="C361" s="4" t="s">
        <v>1398</v>
      </c>
      <c r="D361" s="4">
        <v>1938</v>
      </c>
      <c r="E361" s="4">
        <v>12</v>
      </c>
      <c r="F361" s="4">
        <v>25</v>
      </c>
      <c r="G361" s="15">
        <f t="shared" si="10"/>
        <v>14239</v>
      </c>
      <c r="H361">
        <f t="shared" ca="1" si="11"/>
        <v>87</v>
      </c>
      <c r="I361" t="str" cm="1">
        <f t="array" aca="1" ref="I361" ca="1">_xlfn.IFS(H361&gt;=80,"OLD MAN",H361&gt;=60,"AGED",H361&gt;=30,"MIDDLE AGE",H361&gt;=18,"YOUNG")</f>
        <v>OLD MAN</v>
      </c>
    </row>
    <row r="362" spans="3:9" x14ac:dyDescent="0.3">
      <c r="C362" s="4" t="s">
        <v>1400</v>
      </c>
      <c r="D362" s="4">
        <v>1939</v>
      </c>
      <c r="E362" s="4">
        <v>5</v>
      </c>
      <c r="F362" s="4">
        <v>23</v>
      </c>
      <c r="G362" s="15">
        <f t="shared" si="10"/>
        <v>14388</v>
      </c>
      <c r="H362">
        <f t="shared" ca="1" si="11"/>
        <v>86</v>
      </c>
      <c r="I362" t="str" cm="1">
        <f t="array" aca="1" ref="I362" ca="1">_xlfn.IFS(H362&gt;=80,"OLD MAN",H362&gt;=60,"AGED",H362&gt;=30,"MIDDLE AGE",H362&gt;=18,"YOUNG")</f>
        <v>OLD MAN</v>
      </c>
    </row>
    <row r="363" spans="3:9" x14ac:dyDescent="0.3">
      <c r="C363" s="4" t="s">
        <v>1403</v>
      </c>
      <c r="D363" s="4">
        <v>1930</v>
      </c>
      <c r="E363" s="4">
        <v>8</v>
      </c>
      <c r="F363" s="4">
        <v>12</v>
      </c>
      <c r="G363" s="15">
        <f t="shared" si="10"/>
        <v>11182</v>
      </c>
      <c r="H363">
        <f t="shared" ca="1" si="11"/>
        <v>95</v>
      </c>
      <c r="I363" t="str" cm="1">
        <f t="array" aca="1" ref="I363" ca="1">_xlfn.IFS(H363&gt;=80,"OLD MAN",H363&gt;=60,"AGED",H363&gt;=30,"MIDDLE AGE",H363&gt;=18,"YOUNG")</f>
        <v>OLD MAN</v>
      </c>
    </row>
    <row r="364" spans="3:9" x14ac:dyDescent="0.3">
      <c r="C364" s="4" t="s">
        <v>1406</v>
      </c>
      <c r="D364" s="4">
        <v>1951</v>
      </c>
      <c r="E364" s="4">
        <v>10</v>
      </c>
      <c r="F364" s="4">
        <v>12</v>
      </c>
      <c r="G364" s="15">
        <f t="shared" si="10"/>
        <v>18913</v>
      </c>
      <c r="H364">
        <f t="shared" ca="1" si="11"/>
        <v>74</v>
      </c>
      <c r="I364" t="str" cm="1">
        <f t="array" aca="1" ref="I364" ca="1">_xlfn.IFS(H364&gt;=80,"OLD MAN",H364&gt;=60,"AGED",H364&gt;=30,"MIDDLE AGE",H364&gt;=18,"YOUNG")</f>
        <v>AGED</v>
      </c>
    </row>
    <row r="365" spans="3:9" x14ac:dyDescent="0.3">
      <c r="C365" s="4" t="s">
        <v>1409</v>
      </c>
      <c r="D365" s="4">
        <v>1983</v>
      </c>
      <c r="E365" s="4">
        <v>5</v>
      </c>
      <c r="F365" s="4">
        <v>18</v>
      </c>
      <c r="G365" s="15">
        <f t="shared" si="10"/>
        <v>30454</v>
      </c>
      <c r="H365">
        <f t="shared" ca="1" si="11"/>
        <v>42</v>
      </c>
      <c r="I365" t="str" cm="1">
        <f t="array" aca="1" ref="I365" ca="1">_xlfn.IFS(H365&gt;=80,"OLD MAN",H365&gt;=60,"AGED",H365&gt;=30,"MIDDLE AGE",H365&gt;=18,"YOUNG")</f>
        <v>MIDDLE AGE</v>
      </c>
    </row>
    <row r="366" spans="3:9" x14ac:dyDescent="0.3">
      <c r="C366" s="4" t="s">
        <v>1412</v>
      </c>
      <c r="D366" s="4">
        <v>1941</v>
      </c>
      <c r="E366" s="4">
        <v>8</v>
      </c>
      <c r="F366" s="4">
        <v>12</v>
      </c>
      <c r="G366" s="15">
        <f t="shared" si="10"/>
        <v>15200</v>
      </c>
      <c r="H366">
        <f t="shared" ca="1" si="11"/>
        <v>84</v>
      </c>
      <c r="I366" t="str" cm="1">
        <f t="array" aca="1" ref="I366" ca="1">_xlfn.IFS(H366&gt;=80,"OLD MAN",H366&gt;=60,"AGED",H366&gt;=30,"MIDDLE AGE",H366&gt;=18,"YOUNG")</f>
        <v>OLD MAN</v>
      </c>
    </row>
    <row r="367" spans="3:9" x14ac:dyDescent="0.3">
      <c r="C367" s="4" t="s">
        <v>1415</v>
      </c>
      <c r="D367" s="4">
        <v>1958</v>
      </c>
      <c r="E367" s="4">
        <v>1</v>
      </c>
      <c r="F367" s="4">
        <v>1</v>
      </c>
      <c r="G367" s="15">
        <f t="shared" si="10"/>
        <v>21186</v>
      </c>
      <c r="H367">
        <f t="shared" ca="1" si="11"/>
        <v>68</v>
      </c>
      <c r="I367" t="str" cm="1">
        <f t="array" aca="1" ref="I367" ca="1">_xlfn.IFS(H367&gt;=80,"OLD MAN",H367&gt;=60,"AGED",H367&gt;=30,"MIDDLE AGE",H367&gt;=18,"YOUNG")</f>
        <v>AGED</v>
      </c>
    </row>
    <row r="368" spans="3:9" x14ac:dyDescent="0.3">
      <c r="C368" s="4" t="s">
        <v>1418</v>
      </c>
      <c r="D368" s="4">
        <v>1976</v>
      </c>
      <c r="E368" s="4">
        <v>1</v>
      </c>
      <c r="F368" s="4">
        <v>1</v>
      </c>
      <c r="G368" s="15">
        <f t="shared" si="10"/>
        <v>27760</v>
      </c>
      <c r="H368">
        <f t="shared" ca="1" si="11"/>
        <v>50</v>
      </c>
      <c r="I368" t="str" cm="1">
        <f t="array" aca="1" ref="I368" ca="1">_xlfn.IFS(H368&gt;=80,"OLD MAN",H368&gt;=60,"AGED",H368&gt;=30,"MIDDLE AGE",H368&gt;=18,"YOUNG")</f>
        <v>MIDDLE AGE</v>
      </c>
    </row>
    <row r="369" spans="3:9" x14ac:dyDescent="0.3">
      <c r="C369" s="4" t="s">
        <v>1422</v>
      </c>
      <c r="D369" s="4">
        <v>1954</v>
      </c>
      <c r="E369" s="4">
        <v>4</v>
      </c>
      <c r="F369" s="4">
        <v>22</v>
      </c>
      <c r="G369" s="15">
        <f t="shared" si="10"/>
        <v>19836</v>
      </c>
      <c r="H369">
        <f t="shared" ca="1" si="11"/>
        <v>71</v>
      </c>
      <c r="I369" t="str" cm="1">
        <f t="array" aca="1" ref="I369" ca="1">_xlfn.IFS(H369&gt;=80,"OLD MAN",H369&gt;=60,"AGED",H369&gt;=30,"MIDDLE AGE",H369&gt;=18,"YOUNG")</f>
        <v>AGED</v>
      </c>
    </row>
    <row r="370" spans="3:9" x14ac:dyDescent="0.3">
      <c r="C370" s="4" t="s">
        <v>1426</v>
      </c>
      <c r="D370" s="4">
        <v>1953</v>
      </c>
      <c r="E370" s="4">
        <v>3</v>
      </c>
      <c r="F370" s="4">
        <v>1</v>
      </c>
      <c r="G370" s="15">
        <f t="shared" si="10"/>
        <v>19419</v>
      </c>
      <c r="H370">
        <f t="shared" ca="1" si="11"/>
        <v>73</v>
      </c>
      <c r="I370" t="str" cm="1">
        <f t="array" aca="1" ref="I370" ca="1">_xlfn.IFS(H370&gt;=80,"OLD MAN",H370&gt;=60,"AGED",H370&gt;=30,"MIDDLE AGE",H370&gt;=18,"YOUNG")</f>
        <v>AGED</v>
      </c>
    </row>
    <row r="371" spans="3:9" x14ac:dyDescent="0.3">
      <c r="C371" s="4" t="s">
        <v>1428</v>
      </c>
      <c r="D371" s="4">
        <v>1955</v>
      </c>
      <c r="E371" s="4">
        <v>12</v>
      </c>
      <c r="F371" s="4">
        <v>17</v>
      </c>
      <c r="G371" s="15">
        <f t="shared" si="10"/>
        <v>20440</v>
      </c>
      <c r="H371">
        <f t="shared" ca="1" si="11"/>
        <v>70</v>
      </c>
      <c r="I371" t="str" cm="1">
        <f t="array" aca="1" ref="I371" ca="1">_xlfn.IFS(H371&gt;=80,"OLD MAN",H371&gt;=60,"AGED",H371&gt;=30,"MIDDLE AGE",H371&gt;=18,"YOUNG")</f>
        <v>AGED</v>
      </c>
    </row>
    <row r="372" spans="3:9" x14ac:dyDescent="0.3">
      <c r="C372" s="4" t="s">
        <v>1432</v>
      </c>
      <c r="D372" s="4">
        <v>1945</v>
      </c>
      <c r="E372" s="4">
        <v>2</v>
      </c>
      <c r="F372" s="4">
        <v>25</v>
      </c>
      <c r="G372" s="15">
        <f t="shared" si="10"/>
        <v>16493</v>
      </c>
      <c r="H372">
        <f t="shared" ca="1" si="11"/>
        <v>81</v>
      </c>
      <c r="I372" t="str" cm="1">
        <f t="array" aca="1" ref="I372" ca="1">_xlfn.IFS(H372&gt;=80,"OLD MAN",H372&gt;=60,"AGED",H372&gt;=30,"MIDDLE AGE",H372&gt;=18,"YOUNG")</f>
        <v>OLD MAN</v>
      </c>
    </row>
    <row r="373" spans="3:9" x14ac:dyDescent="0.3">
      <c r="C373" s="4" t="s">
        <v>1435</v>
      </c>
      <c r="D373" s="4">
        <v>1959</v>
      </c>
      <c r="E373" s="4">
        <v>10</v>
      </c>
      <c r="F373" s="4">
        <v>8</v>
      </c>
      <c r="G373" s="15">
        <f t="shared" si="10"/>
        <v>21831</v>
      </c>
      <c r="H373">
        <f t="shared" ca="1" si="11"/>
        <v>66</v>
      </c>
      <c r="I373" t="str" cm="1">
        <f t="array" aca="1" ref="I373" ca="1">_xlfn.IFS(H373&gt;=80,"OLD MAN",H373&gt;=60,"AGED",H373&gt;=30,"MIDDLE AGE",H373&gt;=18,"YOUNG")</f>
        <v>AGED</v>
      </c>
    </row>
    <row r="374" spans="3:9" x14ac:dyDescent="0.3">
      <c r="C374" s="4" t="s">
        <v>1438</v>
      </c>
      <c r="D374" s="4">
        <v>1976</v>
      </c>
      <c r="E374" s="4">
        <v>1</v>
      </c>
      <c r="F374" s="4">
        <v>7</v>
      </c>
      <c r="G374" s="15">
        <f t="shared" si="10"/>
        <v>27766</v>
      </c>
      <c r="H374">
        <f t="shared" ca="1" si="11"/>
        <v>50</v>
      </c>
      <c r="I374" t="str" cm="1">
        <f t="array" aca="1" ref="I374" ca="1">_xlfn.IFS(H374&gt;=80,"OLD MAN",H374&gt;=60,"AGED",H374&gt;=30,"MIDDLE AGE",H374&gt;=18,"YOUNG")</f>
        <v>MIDDLE AGE</v>
      </c>
    </row>
    <row r="375" spans="3:9" x14ac:dyDescent="0.3">
      <c r="C375" s="4" t="s">
        <v>1442</v>
      </c>
      <c r="D375" s="4">
        <v>1942</v>
      </c>
      <c r="E375" s="4">
        <v>11</v>
      </c>
      <c r="F375" s="4">
        <v>27</v>
      </c>
      <c r="G375" s="15">
        <f t="shared" si="10"/>
        <v>15672</v>
      </c>
      <c r="H375">
        <f t="shared" ca="1" si="11"/>
        <v>83</v>
      </c>
      <c r="I375" t="str" cm="1">
        <f t="array" aca="1" ref="I375" ca="1">_xlfn.IFS(H375&gt;=80,"OLD MAN",H375&gt;=60,"AGED",H375&gt;=30,"MIDDLE AGE",H375&gt;=18,"YOUNG")</f>
        <v>OLD MAN</v>
      </c>
    </row>
    <row r="376" spans="3:9" x14ac:dyDescent="0.3">
      <c r="C376" s="4" t="s">
        <v>1444</v>
      </c>
      <c r="D376" s="4">
        <v>1964</v>
      </c>
      <c r="E376" s="4">
        <v>8</v>
      </c>
      <c r="F376" s="4">
        <v>15</v>
      </c>
      <c r="G376" s="15">
        <f t="shared" si="10"/>
        <v>23604</v>
      </c>
      <c r="H376">
        <f t="shared" ca="1" si="11"/>
        <v>61</v>
      </c>
      <c r="I376" t="str" cm="1">
        <f t="array" aca="1" ref="I376" ca="1">_xlfn.IFS(H376&gt;=80,"OLD MAN",H376&gt;=60,"AGED",H376&gt;=30,"MIDDLE AGE",H376&gt;=18,"YOUNG")</f>
        <v>AGED</v>
      </c>
    </row>
    <row r="377" spans="3:9" x14ac:dyDescent="0.3">
      <c r="C377" s="4" t="s">
        <v>1447</v>
      </c>
      <c r="D377" s="4">
        <v>1930</v>
      </c>
      <c r="E377" s="4">
        <v>2</v>
      </c>
      <c r="F377" s="4">
        <v>27</v>
      </c>
      <c r="G377" s="15">
        <f t="shared" si="10"/>
        <v>11016</v>
      </c>
      <c r="H377">
        <f t="shared" ca="1" si="11"/>
        <v>96</v>
      </c>
      <c r="I377" t="str" cm="1">
        <f t="array" aca="1" ref="I377" ca="1">_xlfn.IFS(H377&gt;=80,"OLD MAN",H377&gt;=60,"AGED",H377&gt;=30,"MIDDLE AGE",H377&gt;=18,"YOUNG")</f>
        <v>OLD MAN</v>
      </c>
    </row>
    <row r="378" spans="3:9" x14ac:dyDescent="0.3">
      <c r="C378" s="4" t="s">
        <v>1451</v>
      </c>
      <c r="D378" s="4">
        <v>1938</v>
      </c>
      <c r="E378" s="4">
        <v>9</v>
      </c>
      <c r="F378" s="4">
        <v>1</v>
      </c>
      <c r="G378" s="15">
        <f t="shared" si="10"/>
        <v>14124</v>
      </c>
      <c r="H378">
        <f t="shared" ca="1" si="11"/>
        <v>87</v>
      </c>
      <c r="I378" t="str" cm="1">
        <f t="array" aca="1" ref="I378" ca="1">_xlfn.IFS(H378&gt;=80,"OLD MAN",H378&gt;=60,"AGED",H378&gt;=30,"MIDDLE AGE",H378&gt;=18,"YOUNG")</f>
        <v>OLD MAN</v>
      </c>
    </row>
    <row r="379" spans="3:9" x14ac:dyDescent="0.3">
      <c r="C379" s="4" t="s">
        <v>1454</v>
      </c>
      <c r="D379" s="4">
        <v>1971</v>
      </c>
      <c r="E379" s="4">
        <v>4</v>
      </c>
      <c r="F379" s="4">
        <v>22</v>
      </c>
      <c r="G379" s="15">
        <f t="shared" si="10"/>
        <v>26045</v>
      </c>
      <c r="H379">
        <f t="shared" ca="1" si="11"/>
        <v>54</v>
      </c>
      <c r="I379" t="str" cm="1">
        <f t="array" aca="1" ref="I379" ca="1">_xlfn.IFS(H379&gt;=80,"OLD MAN",H379&gt;=60,"AGED",H379&gt;=30,"MIDDLE AGE",H379&gt;=18,"YOUNG")</f>
        <v>MIDDLE AGE</v>
      </c>
    </row>
    <row r="380" spans="3:9" x14ac:dyDescent="0.3">
      <c r="C380" s="4" t="s">
        <v>1458</v>
      </c>
      <c r="D380" s="4">
        <v>1951</v>
      </c>
      <c r="E380" s="4">
        <v>8</v>
      </c>
      <c r="F380" s="4">
        <v>19</v>
      </c>
      <c r="G380" s="15">
        <f t="shared" si="10"/>
        <v>18859</v>
      </c>
      <c r="H380">
        <f t="shared" ca="1" si="11"/>
        <v>74</v>
      </c>
      <c r="I380" t="str" cm="1">
        <f t="array" aca="1" ref="I380" ca="1">_xlfn.IFS(H380&gt;=80,"OLD MAN",H380&gt;=60,"AGED",H380&gt;=30,"MIDDLE AGE",H380&gt;=18,"YOUNG")</f>
        <v>AGED</v>
      </c>
    </row>
    <row r="381" spans="3:9" x14ac:dyDescent="0.3">
      <c r="C381" s="4" t="s">
        <v>1461</v>
      </c>
      <c r="D381" s="4">
        <v>1960</v>
      </c>
      <c r="E381" s="4">
        <v>4</v>
      </c>
      <c r="F381" s="4">
        <v>10</v>
      </c>
      <c r="G381" s="15">
        <f t="shared" si="10"/>
        <v>22016</v>
      </c>
      <c r="H381">
        <f t="shared" ca="1" si="11"/>
        <v>66</v>
      </c>
      <c r="I381" t="str" cm="1">
        <f t="array" aca="1" ref="I381" ca="1">_xlfn.IFS(H381&gt;=80,"OLD MAN",H381&gt;=60,"AGED",H381&gt;=30,"MIDDLE AGE",H381&gt;=18,"YOUNG")</f>
        <v>AGED</v>
      </c>
    </row>
    <row r="382" spans="3:9" x14ac:dyDescent="0.3">
      <c r="C382" s="4" t="s">
        <v>1464</v>
      </c>
      <c r="D382" s="4">
        <v>1953</v>
      </c>
      <c r="E382" s="4">
        <v>6</v>
      </c>
      <c r="F382" s="4">
        <v>14</v>
      </c>
      <c r="G382" s="15">
        <f t="shared" si="10"/>
        <v>19524</v>
      </c>
      <c r="H382">
        <f t="shared" ca="1" si="11"/>
        <v>72</v>
      </c>
      <c r="I382" t="str" cm="1">
        <f t="array" aca="1" ref="I382" ca="1">_xlfn.IFS(H382&gt;=80,"OLD MAN",H382&gt;=60,"AGED",H382&gt;=30,"MIDDLE AGE",H382&gt;=18,"YOUNG")</f>
        <v>AGED</v>
      </c>
    </row>
    <row r="383" spans="3:9" x14ac:dyDescent="0.3">
      <c r="C383" s="4" t="s">
        <v>1466</v>
      </c>
      <c r="D383" s="4">
        <v>1963</v>
      </c>
      <c r="E383" s="4">
        <v>11</v>
      </c>
      <c r="F383" s="4">
        <v>1</v>
      </c>
      <c r="G383" s="15">
        <f t="shared" si="10"/>
        <v>23316</v>
      </c>
      <c r="H383">
        <f t="shared" ca="1" si="11"/>
        <v>62</v>
      </c>
      <c r="I383" t="str" cm="1">
        <f t="array" aca="1" ref="I383" ca="1">_xlfn.IFS(H383&gt;=80,"OLD MAN",H383&gt;=60,"AGED",H383&gt;=30,"MIDDLE AGE",H383&gt;=18,"YOUNG")</f>
        <v>AGED</v>
      </c>
    </row>
    <row r="384" spans="3:9" x14ac:dyDescent="0.3">
      <c r="C384" s="4" t="s">
        <v>1469</v>
      </c>
      <c r="D384" s="4">
        <v>1962</v>
      </c>
      <c r="E384" s="4">
        <v>10</v>
      </c>
      <c r="F384" s="4">
        <v>15</v>
      </c>
      <c r="G384" s="15">
        <f t="shared" si="10"/>
        <v>22934</v>
      </c>
      <c r="H384">
        <f t="shared" ca="1" si="11"/>
        <v>63</v>
      </c>
      <c r="I384" t="str" cm="1">
        <f t="array" aca="1" ref="I384" ca="1">_xlfn.IFS(H384&gt;=80,"OLD MAN",H384&gt;=60,"AGED",H384&gt;=30,"MIDDLE AGE",H384&gt;=18,"YOUNG")</f>
        <v>AGED</v>
      </c>
    </row>
    <row r="385" spans="3:9" x14ac:dyDescent="0.3">
      <c r="C385" s="4" t="s">
        <v>1472</v>
      </c>
      <c r="D385" s="4">
        <v>1933</v>
      </c>
      <c r="E385" s="4">
        <v>1</v>
      </c>
      <c r="F385" s="4">
        <v>27</v>
      </c>
      <c r="G385" s="15">
        <f t="shared" si="10"/>
        <v>12081</v>
      </c>
      <c r="H385">
        <f t="shared" ca="1" si="11"/>
        <v>93</v>
      </c>
      <c r="I385" t="str" cm="1">
        <f t="array" aca="1" ref="I385" ca="1">_xlfn.IFS(H385&gt;=80,"OLD MAN",H385&gt;=60,"AGED",H385&gt;=30,"MIDDLE AGE",H385&gt;=18,"YOUNG")</f>
        <v>OLD MAN</v>
      </c>
    </row>
    <row r="386" spans="3:9" x14ac:dyDescent="0.3">
      <c r="C386" s="4" t="s">
        <v>1478</v>
      </c>
      <c r="D386" s="4">
        <v>1934</v>
      </c>
      <c r="E386" s="4">
        <v>7</v>
      </c>
      <c r="F386" s="4">
        <v>27</v>
      </c>
      <c r="G386" s="15">
        <f t="shared" si="10"/>
        <v>12627</v>
      </c>
      <c r="H386">
        <f t="shared" ca="1" si="11"/>
        <v>91</v>
      </c>
      <c r="I386" t="str" cm="1">
        <f t="array" aca="1" ref="I386" ca="1">_xlfn.IFS(H386&gt;=80,"OLD MAN",H386&gt;=60,"AGED",H386&gt;=30,"MIDDLE AGE",H386&gt;=18,"YOUNG")</f>
        <v>OLD MAN</v>
      </c>
    </row>
    <row r="387" spans="3:9" x14ac:dyDescent="0.3">
      <c r="C387" s="4" t="s">
        <v>1483</v>
      </c>
      <c r="D387" s="4">
        <v>1945</v>
      </c>
      <c r="E387" s="4">
        <v>10</v>
      </c>
      <c r="F387" s="4">
        <v>23</v>
      </c>
      <c r="G387" s="15">
        <f t="shared" si="10"/>
        <v>16733</v>
      </c>
      <c r="H387">
        <f t="shared" ca="1" si="11"/>
        <v>80</v>
      </c>
      <c r="I387" t="str" cm="1">
        <f t="array" aca="1" ref="I387" ca="1">_xlfn.IFS(H387&gt;=80,"OLD MAN",H387&gt;=60,"AGED",H387&gt;=30,"MIDDLE AGE",H387&gt;=18,"YOUNG")</f>
        <v>OLD MAN</v>
      </c>
    </row>
    <row r="388" spans="3:9" x14ac:dyDescent="0.3">
      <c r="C388" s="4" t="s">
        <v>1485</v>
      </c>
      <c r="D388" s="4">
        <v>1965</v>
      </c>
      <c r="E388" s="4">
        <v>1</v>
      </c>
      <c r="F388" s="4">
        <v>1</v>
      </c>
      <c r="G388" s="15">
        <f t="shared" ref="G388:G451" si="12">DATE(D388,E388,F388)</f>
        <v>23743</v>
      </c>
      <c r="H388">
        <f t="shared" ref="H388:H451" ca="1" si="13">DATEDIF(G388,TODAY(),"Y")</f>
        <v>61</v>
      </c>
      <c r="I388" t="str" cm="1">
        <f t="array" aca="1" ref="I388" ca="1">_xlfn.IFS(H388&gt;=80,"OLD MAN",H388&gt;=60,"AGED",H388&gt;=30,"MIDDLE AGE",H388&gt;=18,"YOUNG")</f>
        <v>AGED</v>
      </c>
    </row>
    <row r="389" spans="3:9" x14ac:dyDescent="0.3">
      <c r="C389" s="4" t="s">
        <v>1489</v>
      </c>
      <c r="D389" s="4">
        <v>1956</v>
      </c>
      <c r="E389" s="4">
        <v>6</v>
      </c>
      <c r="F389" s="4">
        <v>1</v>
      </c>
      <c r="G389" s="15">
        <f t="shared" si="12"/>
        <v>20607</v>
      </c>
      <c r="H389">
        <f t="shared" ca="1" si="13"/>
        <v>69</v>
      </c>
      <c r="I389" t="str" cm="1">
        <f t="array" aca="1" ref="I389" ca="1">_xlfn.IFS(H389&gt;=80,"OLD MAN",H389&gt;=60,"AGED",H389&gt;=30,"MIDDLE AGE",H389&gt;=18,"YOUNG")</f>
        <v>AGED</v>
      </c>
    </row>
    <row r="390" spans="3:9" x14ac:dyDescent="0.3">
      <c r="C390" s="4" t="s">
        <v>1491</v>
      </c>
      <c r="D390" s="4">
        <v>1938</v>
      </c>
      <c r="E390" s="4">
        <v>1</v>
      </c>
      <c r="F390" s="4">
        <v>1</v>
      </c>
      <c r="G390" s="15">
        <f t="shared" si="12"/>
        <v>13881</v>
      </c>
      <c r="H390">
        <f t="shared" ca="1" si="13"/>
        <v>88</v>
      </c>
      <c r="I390" t="str" cm="1">
        <f t="array" aca="1" ref="I390" ca="1">_xlfn.IFS(H390&gt;=80,"OLD MAN",H390&gt;=60,"AGED",H390&gt;=30,"MIDDLE AGE",H390&gt;=18,"YOUNG")</f>
        <v>OLD MAN</v>
      </c>
    </row>
    <row r="391" spans="3:9" x14ac:dyDescent="0.3">
      <c r="C391" s="4" t="s">
        <v>1494</v>
      </c>
      <c r="D391" s="4">
        <v>1964</v>
      </c>
      <c r="E391" s="4">
        <v>3</v>
      </c>
      <c r="F391" s="4">
        <v>11</v>
      </c>
      <c r="G391" s="15">
        <f t="shared" si="12"/>
        <v>23447</v>
      </c>
      <c r="H391">
        <f t="shared" ca="1" si="13"/>
        <v>62</v>
      </c>
      <c r="I391" t="str" cm="1">
        <f t="array" aca="1" ref="I391" ca="1">_xlfn.IFS(H391&gt;=80,"OLD MAN",H391&gt;=60,"AGED",H391&gt;=30,"MIDDLE AGE",H391&gt;=18,"YOUNG")</f>
        <v>AGED</v>
      </c>
    </row>
    <row r="392" spans="3:9" x14ac:dyDescent="0.3">
      <c r="C392" s="4" t="s">
        <v>1498</v>
      </c>
      <c r="D392" s="4">
        <v>1926</v>
      </c>
      <c r="E392" s="4">
        <v>7</v>
      </c>
      <c r="F392" s="4">
        <v>16</v>
      </c>
      <c r="G392" s="15">
        <f t="shared" si="12"/>
        <v>9694</v>
      </c>
      <c r="H392">
        <f t="shared" ca="1" si="13"/>
        <v>99</v>
      </c>
      <c r="I392" t="str" cm="1">
        <f t="array" aca="1" ref="I392" ca="1">_xlfn.IFS(H392&gt;=80,"OLD MAN",H392&gt;=60,"AGED",H392&gt;=30,"MIDDLE AGE",H392&gt;=18,"YOUNG")</f>
        <v>OLD MAN</v>
      </c>
    </row>
    <row r="393" spans="3:9" x14ac:dyDescent="0.3">
      <c r="C393" s="4" t="s">
        <v>1502</v>
      </c>
      <c r="D393" s="4">
        <v>1963</v>
      </c>
      <c r="E393" s="4">
        <v>5</v>
      </c>
      <c r="F393" s="4">
        <v>2</v>
      </c>
      <c r="G393" s="15">
        <f t="shared" si="12"/>
        <v>23133</v>
      </c>
      <c r="H393">
        <f t="shared" ca="1" si="13"/>
        <v>62</v>
      </c>
      <c r="I393" t="str" cm="1">
        <f t="array" aca="1" ref="I393" ca="1">_xlfn.IFS(H393&gt;=80,"OLD MAN",H393&gt;=60,"AGED",H393&gt;=30,"MIDDLE AGE",H393&gt;=18,"YOUNG")</f>
        <v>AGED</v>
      </c>
    </row>
    <row r="394" spans="3:9" x14ac:dyDescent="0.3">
      <c r="C394" s="4" t="s">
        <v>1506</v>
      </c>
      <c r="D394" s="4">
        <v>1938</v>
      </c>
      <c r="E394" s="4">
        <v>3</v>
      </c>
      <c r="F394" s="4">
        <v>3</v>
      </c>
      <c r="G394" s="15">
        <f t="shared" si="12"/>
        <v>13942</v>
      </c>
      <c r="H394">
        <f t="shared" ca="1" si="13"/>
        <v>88</v>
      </c>
      <c r="I394" t="str" cm="1">
        <f t="array" aca="1" ref="I394" ca="1">_xlfn.IFS(H394&gt;=80,"OLD MAN",H394&gt;=60,"AGED",H394&gt;=30,"MIDDLE AGE",H394&gt;=18,"YOUNG")</f>
        <v>OLD MAN</v>
      </c>
    </row>
    <row r="395" spans="3:9" x14ac:dyDescent="0.3">
      <c r="C395" s="4" t="s">
        <v>1509</v>
      </c>
      <c r="D395" s="4">
        <v>1933</v>
      </c>
      <c r="E395" s="4">
        <v>8</v>
      </c>
      <c r="F395" s="4">
        <v>2</v>
      </c>
      <c r="G395" s="15">
        <f t="shared" si="12"/>
        <v>12268</v>
      </c>
      <c r="H395">
        <f t="shared" ca="1" si="13"/>
        <v>92</v>
      </c>
      <c r="I395" t="str" cm="1">
        <f t="array" aca="1" ref="I395" ca="1">_xlfn.IFS(H395&gt;=80,"OLD MAN",H395&gt;=60,"AGED",H395&gt;=30,"MIDDLE AGE",H395&gt;=18,"YOUNG")</f>
        <v>OLD MAN</v>
      </c>
    </row>
    <row r="396" spans="3:9" x14ac:dyDescent="0.3">
      <c r="C396" s="4" t="s">
        <v>1516</v>
      </c>
      <c r="D396" s="4">
        <v>1964</v>
      </c>
      <c r="E396" s="4">
        <v>1</v>
      </c>
      <c r="F396" s="4">
        <v>1</v>
      </c>
      <c r="G396" s="15">
        <f t="shared" si="12"/>
        <v>23377</v>
      </c>
      <c r="H396">
        <f t="shared" ca="1" si="13"/>
        <v>62</v>
      </c>
      <c r="I396" t="str" cm="1">
        <f t="array" aca="1" ref="I396" ca="1">_xlfn.IFS(H396&gt;=80,"OLD MAN",H396&gt;=60,"AGED",H396&gt;=30,"MIDDLE AGE",H396&gt;=18,"YOUNG")</f>
        <v>AGED</v>
      </c>
    </row>
    <row r="397" spans="3:9" x14ac:dyDescent="0.3">
      <c r="C397" s="4" t="s">
        <v>1518</v>
      </c>
      <c r="D397" s="4">
        <v>1964</v>
      </c>
      <c r="E397" s="4">
        <v>1</v>
      </c>
      <c r="F397" s="4">
        <v>1</v>
      </c>
      <c r="G397" s="15">
        <f t="shared" si="12"/>
        <v>23377</v>
      </c>
      <c r="H397">
        <f t="shared" ca="1" si="13"/>
        <v>62</v>
      </c>
      <c r="I397" t="str" cm="1">
        <f t="array" aca="1" ref="I397" ca="1">_xlfn.IFS(H397&gt;=80,"OLD MAN",H397&gt;=60,"AGED",H397&gt;=30,"MIDDLE AGE",H397&gt;=18,"YOUNG")</f>
        <v>AGED</v>
      </c>
    </row>
    <row r="398" spans="3:9" x14ac:dyDescent="0.3">
      <c r="C398" s="4" t="s">
        <v>1521</v>
      </c>
      <c r="D398" s="4">
        <v>1972</v>
      </c>
      <c r="E398" s="4">
        <v>1</v>
      </c>
      <c r="F398" s="4">
        <v>1</v>
      </c>
      <c r="G398" s="15">
        <f t="shared" si="12"/>
        <v>26299</v>
      </c>
      <c r="H398">
        <f t="shared" ca="1" si="13"/>
        <v>54</v>
      </c>
      <c r="I398" t="str" cm="1">
        <f t="array" aca="1" ref="I398" ca="1">_xlfn.IFS(H398&gt;=80,"OLD MAN",H398&gt;=60,"AGED",H398&gt;=30,"MIDDLE AGE",H398&gt;=18,"YOUNG")</f>
        <v>MIDDLE AGE</v>
      </c>
    </row>
    <row r="399" spans="3:9" x14ac:dyDescent="0.3">
      <c r="C399" s="4" t="s">
        <v>1524</v>
      </c>
      <c r="D399" s="4">
        <v>1962</v>
      </c>
      <c r="E399" s="4">
        <v>7</v>
      </c>
      <c r="F399" s="4">
        <v>11</v>
      </c>
      <c r="G399" s="15">
        <f t="shared" si="12"/>
        <v>22838</v>
      </c>
      <c r="H399">
        <f t="shared" ca="1" si="13"/>
        <v>63</v>
      </c>
      <c r="I399" t="str" cm="1">
        <f t="array" aca="1" ref="I399" ca="1">_xlfn.IFS(H399&gt;=80,"OLD MAN",H399&gt;=60,"AGED",H399&gt;=30,"MIDDLE AGE",H399&gt;=18,"YOUNG")</f>
        <v>AGED</v>
      </c>
    </row>
    <row r="400" spans="3:9" x14ac:dyDescent="0.3">
      <c r="C400" s="4" t="s">
        <v>1530</v>
      </c>
      <c r="D400" s="4">
        <v>1953</v>
      </c>
      <c r="E400" s="4">
        <v>4</v>
      </c>
      <c r="F400" s="4">
        <v>29</v>
      </c>
      <c r="G400" s="15">
        <f t="shared" si="12"/>
        <v>19478</v>
      </c>
      <c r="H400">
        <f t="shared" ca="1" si="13"/>
        <v>72</v>
      </c>
      <c r="I400" t="str" cm="1">
        <f t="array" aca="1" ref="I400" ca="1">_xlfn.IFS(H400&gt;=80,"OLD MAN",H400&gt;=60,"AGED",H400&gt;=30,"MIDDLE AGE",H400&gt;=18,"YOUNG")</f>
        <v>AGED</v>
      </c>
    </row>
    <row r="401" spans="3:9" x14ac:dyDescent="0.3">
      <c r="C401" s="4" t="s">
        <v>1533</v>
      </c>
      <c r="D401" s="4">
        <v>1964</v>
      </c>
      <c r="E401" s="4">
        <v>7</v>
      </c>
      <c r="F401" s="4">
        <v>31</v>
      </c>
      <c r="G401" s="15">
        <f t="shared" si="12"/>
        <v>23589</v>
      </c>
      <c r="H401">
        <f t="shared" ca="1" si="13"/>
        <v>61</v>
      </c>
      <c r="I401" t="str" cm="1">
        <f t="array" aca="1" ref="I401" ca="1">_xlfn.IFS(H401&gt;=80,"OLD MAN",H401&gt;=60,"AGED",H401&gt;=30,"MIDDLE AGE",H401&gt;=18,"YOUNG")</f>
        <v>AGED</v>
      </c>
    </row>
    <row r="402" spans="3:9" x14ac:dyDescent="0.3">
      <c r="C402" s="4" t="s">
        <v>1536</v>
      </c>
      <c r="D402" s="4">
        <v>1943</v>
      </c>
      <c r="E402" s="4">
        <v>9</v>
      </c>
      <c r="F402" s="4">
        <v>28</v>
      </c>
      <c r="G402" s="15">
        <f t="shared" si="12"/>
        <v>15977</v>
      </c>
      <c r="H402">
        <f t="shared" ca="1" si="13"/>
        <v>82</v>
      </c>
      <c r="I402" t="str" cm="1">
        <f t="array" aca="1" ref="I402" ca="1">_xlfn.IFS(H402&gt;=80,"OLD MAN",H402&gt;=60,"AGED",H402&gt;=30,"MIDDLE AGE",H402&gt;=18,"YOUNG")</f>
        <v>OLD MAN</v>
      </c>
    </row>
    <row r="403" spans="3:9" x14ac:dyDescent="0.3">
      <c r="C403" s="4" t="s">
        <v>1539</v>
      </c>
      <c r="D403" s="4">
        <v>1951</v>
      </c>
      <c r="E403" s="4">
        <v>1</v>
      </c>
      <c r="F403" s="4">
        <v>1</v>
      </c>
      <c r="G403" s="15">
        <f t="shared" si="12"/>
        <v>18629</v>
      </c>
      <c r="H403">
        <f t="shared" ca="1" si="13"/>
        <v>75</v>
      </c>
      <c r="I403" t="str" cm="1">
        <f t="array" aca="1" ref="I403" ca="1">_xlfn.IFS(H403&gt;=80,"OLD MAN",H403&gt;=60,"AGED",H403&gt;=30,"MIDDLE AGE",H403&gt;=18,"YOUNG")</f>
        <v>AGED</v>
      </c>
    </row>
    <row r="404" spans="3:9" x14ac:dyDescent="0.3">
      <c r="C404" s="4" t="s">
        <v>1541</v>
      </c>
      <c r="D404" s="4">
        <v>1959</v>
      </c>
      <c r="E404" s="4">
        <v>2</v>
      </c>
      <c r="F404" s="4">
        <v>20</v>
      </c>
      <c r="G404" s="15">
        <f t="shared" si="12"/>
        <v>21601</v>
      </c>
      <c r="H404">
        <f t="shared" ca="1" si="13"/>
        <v>67</v>
      </c>
      <c r="I404" t="str" cm="1">
        <f t="array" aca="1" ref="I404" ca="1">_xlfn.IFS(H404&gt;=80,"OLD MAN",H404&gt;=60,"AGED",H404&gt;=30,"MIDDLE AGE",H404&gt;=18,"YOUNG")</f>
        <v>AGED</v>
      </c>
    </row>
    <row r="405" spans="3:9" x14ac:dyDescent="0.3">
      <c r="C405" s="4" t="s">
        <v>1544</v>
      </c>
      <c r="D405" s="4">
        <v>1938</v>
      </c>
      <c r="E405" s="4">
        <v>1</v>
      </c>
      <c r="F405" s="4">
        <v>12</v>
      </c>
      <c r="G405" s="15">
        <f t="shared" si="12"/>
        <v>13892</v>
      </c>
      <c r="H405">
        <f t="shared" ca="1" si="13"/>
        <v>88</v>
      </c>
      <c r="I405" t="str" cm="1">
        <f t="array" aca="1" ref="I405" ca="1">_xlfn.IFS(H405&gt;=80,"OLD MAN",H405&gt;=60,"AGED",H405&gt;=30,"MIDDLE AGE",H405&gt;=18,"YOUNG")</f>
        <v>OLD MAN</v>
      </c>
    </row>
    <row r="406" spans="3:9" x14ac:dyDescent="0.3">
      <c r="C406" s="4" t="s">
        <v>1547</v>
      </c>
      <c r="D406" s="4">
        <v>1949</v>
      </c>
      <c r="E406" s="4">
        <v>2</v>
      </c>
      <c r="F406" s="4">
        <v>18</v>
      </c>
      <c r="G406" s="15">
        <f t="shared" si="12"/>
        <v>17947</v>
      </c>
      <c r="H406">
        <f t="shared" ca="1" si="13"/>
        <v>77</v>
      </c>
      <c r="I406" t="str" cm="1">
        <f t="array" aca="1" ref="I406" ca="1">_xlfn.IFS(H406&gt;=80,"OLD MAN",H406&gt;=60,"AGED",H406&gt;=30,"MIDDLE AGE",H406&gt;=18,"YOUNG")</f>
        <v>AGED</v>
      </c>
    </row>
    <row r="407" spans="3:9" x14ac:dyDescent="0.3">
      <c r="C407" s="4" t="s">
        <v>1551</v>
      </c>
      <c r="D407" s="4">
        <v>1959</v>
      </c>
      <c r="E407" s="4">
        <v>8</v>
      </c>
      <c r="F407" s="4">
        <v>26</v>
      </c>
      <c r="G407" s="15">
        <f t="shared" si="12"/>
        <v>21788</v>
      </c>
      <c r="H407">
        <f t="shared" ca="1" si="13"/>
        <v>66</v>
      </c>
      <c r="I407" t="str" cm="1">
        <f t="array" aca="1" ref="I407" ca="1">_xlfn.IFS(H407&gt;=80,"OLD MAN",H407&gt;=60,"AGED",H407&gt;=30,"MIDDLE AGE",H407&gt;=18,"YOUNG")</f>
        <v>AGED</v>
      </c>
    </row>
    <row r="408" spans="3:9" x14ac:dyDescent="0.3">
      <c r="C408" s="4" t="s">
        <v>1556</v>
      </c>
      <c r="D408" s="4">
        <v>1958</v>
      </c>
      <c r="E408" s="4">
        <v>1</v>
      </c>
      <c r="F408" s="4">
        <v>1</v>
      </c>
      <c r="G408" s="15">
        <f t="shared" si="12"/>
        <v>21186</v>
      </c>
      <c r="H408">
        <f t="shared" ca="1" si="13"/>
        <v>68</v>
      </c>
      <c r="I408" t="str" cm="1">
        <f t="array" aca="1" ref="I408" ca="1">_xlfn.IFS(H408&gt;=80,"OLD MAN",H408&gt;=60,"AGED",H408&gt;=30,"MIDDLE AGE",H408&gt;=18,"YOUNG")</f>
        <v>AGED</v>
      </c>
    </row>
    <row r="409" spans="3:9" x14ac:dyDescent="0.3">
      <c r="C409" s="4" t="s">
        <v>1558</v>
      </c>
      <c r="D409" s="4">
        <v>1934</v>
      </c>
      <c r="E409" s="4">
        <v>11</v>
      </c>
      <c r="F409" s="4">
        <v>2</v>
      </c>
      <c r="G409" s="15">
        <f t="shared" si="12"/>
        <v>12725</v>
      </c>
      <c r="H409">
        <f t="shared" ca="1" si="13"/>
        <v>91</v>
      </c>
      <c r="I409" t="str" cm="1">
        <f t="array" aca="1" ref="I409" ca="1">_xlfn.IFS(H409&gt;=80,"OLD MAN",H409&gt;=60,"AGED",H409&gt;=30,"MIDDLE AGE",H409&gt;=18,"YOUNG")</f>
        <v>OLD MAN</v>
      </c>
    </row>
    <row r="410" spans="3:9" x14ac:dyDescent="0.3">
      <c r="C410" s="4" t="s">
        <v>1561</v>
      </c>
      <c r="D410" s="4">
        <v>1930</v>
      </c>
      <c r="E410" s="4">
        <v>10</v>
      </c>
      <c r="F410" s="4">
        <v>22</v>
      </c>
      <c r="G410" s="15">
        <f t="shared" si="12"/>
        <v>11253</v>
      </c>
      <c r="H410">
        <f t="shared" ca="1" si="13"/>
        <v>95</v>
      </c>
      <c r="I410" t="str" cm="1">
        <f t="array" aca="1" ref="I410" ca="1">_xlfn.IFS(H410&gt;=80,"OLD MAN",H410&gt;=60,"AGED",H410&gt;=30,"MIDDLE AGE",H410&gt;=18,"YOUNG")</f>
        <v>OLD MAN</v>
      </c>
    </row>
    <row r="411" spans="3:9" x14ac:dyDescent="0.3">
      <c r="C411" s="4" t="s">
        <v>1564</v>
      </c>
      <c r="D411" s="4">
        <v>1946</v>
      </c>
      <c r="E411" s="4">
        <v>7</v>
      </c>
      <c r="F411" s="4">
        <v>4</v>
      </c>
      <c r="G411" s="15">
        <f t="shared" si="12"/>
        <v>16987</v>
      </c>
      <c r="H411">
        <f t="shared" ca="1" si="13"/>
        <v>79</v>
      </c>
      <c r="I411" t="str" cm="1">
        <f t="array" aca="1" ref="I411" ca="1">_xlfn.IFS(H411&gt;=80,"OLD MAN",H411&gt;=60,"AGED",H411&gt;=30,"MIDDLE AGE",H411&gt;=18,"YOUNG")</f>
        <v>AGED</v>
      </c>
    </row>
    <row r="412" spans="3:9" x14ac:dyDescent="0.3">
      <c r="C412" s="4" t="s">
        <v>1566</v>
      </c>
      <c r="D412" s="4">
        <v>1951</v>
      </c>
      <c r="E412" s="4">
        <v>7</v>
      </c>
      <c r="F412" s="4">
        <v>2</v>
      </c>
      <c r="G412" s="15">
        <f t="shared" si="12"/>
        <v>18811</v>
      </c>
      <c r="H412">
        <f t="shared" ca="1" si="13"/>
        <v>74</v>
      </c>
      <c r="I412" t="str" cm="1">
        <f t="array" aca="1" ref="I412" ca="1">_xlfn.IFS(H412&gt;=80,"OLD MAN",H412&gt;=60,"AGED",H412&gt;=30,"MIDDLE AGE",H412&gt;=18,"YOUNG")</f>
        <v>AGED</v>
      </c>
    </row>
    <row r="413" spans="3:9" x14ac:dyDescent="0.3">
      <c r="C413" s="4" t="s">
        <v>1569</v>
      </c>
      <c r="D413" s="4">
        <v>1937</v>
      </c>
      <c r="E413" s="4">
        <v>9</v>
      </c>
      <c r="F413" s="4">
        <v>8</v>
      </c>
      <c r="G413" s="15">
        <f t="shared" si="12"/>
        <v>13766</v>
      </c>
      <c r="H413">
        <f t="shared" ca="1" si="13"/>
        <v>88</v>
      </c>
      <c r="I413" t="str" cm="1">
        <f t="array" aca="1" ref="I413" ca="1">_xlfn.IFS(H413&gt;=80,"OLD MAN",H413&gt;=60,"AGED",H413&gt;=30,"MIDDLE AGE",H413&gt;=18,"YOUNG")</f>
        <v>OLD MAN</v>
      </c>
    </row>
    <row r="414" spans="3:9" x14ac:dyDescent="0.3">
      <c r="C414" s="4" t="s">
        <v>1573</v>
      </c>
      <c r="D414" s="4">
        <v>1963</v>
      </c>
      <c r="E414" s="4">
        <v>1</v>
      </c>
      <c r="F414" s="4">
        <v>1</v>
      </c>
      <c r="G414" s="15">
        <f t="shared" si="12"/>
        <v>23012</v>
      </c>
      <c r="H414">
        <f t="shared" ca="1" si="13"/>
        <v>63</v>
      </c>
      <c r="I414" t="str" cm="1">
        <f t="array" aca="1" ref="I414" ca="1">_xlfn.IFS(H414&gt;=80,"OLD MAN",H414&gt;=60,"AGED",H414&gt;=30,"MIDDLE AGE",H414&gt;=18,"YOUNG")</f>
        <v>AGED</v>
      </c>
    </row>
    <row r="415" spans="3:9" x14ac:dyDescent="0.3">
      <c r="C415" s="4" t="s">
        <v>1576</v>
      </c>
      <c r="D415" s="4">
        <v>1930</v>
      </c>
      <c r="E415" s="4">
        <v>4</v>
      </c>
      <c r="F415" s="4">
        <v>1</v>
      </c>
      <c r="G415" s="15">
        <f t="shared" si="12"/>
        <v>11049</v>
      </c>
      <c r="H415">
        <f t="shared" ca="1" si="13"/>
        <v>96</v>
      </c>
      <c r="I415" t="str" cm="1">
        <f t="array" aca="1" ref="I415" ca="1">_xlfn.IFS(H415&gt;=80,"OLD MAN",H415&gt;=60,"AGED",H415&gt;=30,"MIDDLE AGE",H415&gt;=18,"YOUNG")</f>
        <v>OLD MAN</v>
      </c>
    </row>
    <row r="416" spans="3:9" x14ac:dyDescent="0.3">
      <c r="C416" s="4" t="s">
        <v>1579</v>
      </c>
      <c r="D416" s="4">
        <v>1961</v>
      </c>
      <c r="E416" s="4">
        <v>4</v>
      </c>
      <c r="F416" s="4">
        <v>23</v>
      </c>
      <c r="G416" s="15">
        <f t="shared" si="12"/>
        <v>22394</v>
      </c>
      <c r="H416">
        <f t="shared" ca="1" si="13"/>
        <v>64</v>
      </c>
      <c r="I416" t="str" cm="1">
        <f t="array" aca="1" ref="I416" ca="1">_xlfn.IFS(H416&gt;=80,"OLD MAN",H416&gt;=60,"AGED",H416&gt;=30,"MIDDLE AGE",H416&gt;=18,"YOUNG")</f>
        <v>AGED</v>
      </c>
    </row>
    <row r="417" spans="3:9" x14ac:dyDescent="0.3">
      <c r="C417" s="4" t="s">
        <v>1582</v>
      </c>
      <c r="D417" s="4">
        <v>1960</v>
      </c>
      <c r="E417" s="4">
        <v>10</v>
      </c>
      <c r="F417" s="4">
        <v>12</v>
      </c>
      <c r="G417" s="15">
        <f t="shared" si="12"/>
        <v>22201</v>
      </c>
      <c r="H417">
        <f t="shared" ca="1" si="13"/>
        <v>65</v>
      </c>
      <c r="I417" t="str" cm="1">
        <f t="array" aca="1" ref="I417" ca="1">_xlfn.IFS(H417&gt;=80,"OLD MAN",H417&gt;=60,"AGED",H417&gt;=30,"MIDDLE AGE",H417&gt;=18,"YOUNG")</f>
        <v>AGED</v>
      </c>
    </row>
    <row r="418" spans="3:9" x14ac:dyDescent="0.3">
      <c r="C418" s="4" t="s">
        <v>1586</v>
      </c>
      <c r="D418" s="4">
        <v>1957</v>
      </c>
      <c r="E418" s="4">
        <v>1</v>
      </c>
      <c r="F418" s="4">
        <v>15</v>
      </c>
      <c r="G418" s="15">
        <f t="shared" si="12"/>
        <v>20835</v>
      </c>
      <c r="H418">
        <f t="shared" ca="1" si="13"/>
        <v>69</v>
      </c>
      <c r="I418" t="str" cm="1">
        <f t="array" aca="1" ref="I418" ca="1">_xlfn.IFS(H418&gt;=80,"OLD MAN",H418&gt;=60,"AGED",H418&gt;=30,"MIDDLE AGE",H418&gt;=18,"YOUNG")</f>
        <v>AGED</v>
      </c>
    </row>
    <row r="419" spans="3:9" x14ac:dyDescent="0.3">
      <c r="C419" s="4" t="s">
        <v>1590</v>
      </c>
      <c r="D419" s="4">
        <v>1964</v>
      </c>
      <c r="E419" s="4">
        <v>12</v>
      </c>
      <c r="F419" s="4">
        <v>29</v>
      </c>
      <c r="G419" s="15">
        <f t="shared" si="12"/>
        <v>23740</v>
      </c>
      <c r="H419">
        <f t="shared" ca="1" si="13"/>
        <v>61</v>
      </c>
      <c r="I419" t="str" cm="1">
        <f t="array" aca="1" ref="I419" ca="1">_xlfn.IFS(H419&gt;=80,"OLD MAN",H419&gt;=60,"AGED",H419&gt;=30,"MIDDLE AGE",H419&gt;=18,"YOUNG")</f>
        <v>AGED</v>
      </c>
    </row>
    <row r="420" spans="3:9" x14ac:dyDescent="0.3">
      <c r="C420" s="4" t="s">
        <v>1593</v>
      </c>
      <c r="D420" s="4">
        <v>1947</v>
      </c>
      <c r="E420" s="4">
        <v>10</v>
      </c>
      <c r="F420" s="4">
        <v>25</v>
      </c>
      <c r="G420" s="15">
        <f t="shared" si="12"/>
        <v>17465</v>
      </c>
      <c r="H420">
        <f t="shared" ca="1" si="13"/>
        <v>78</v>
      </c>
      <c r="I420" t="str" cm="1">
        <f t="array" aca="1" ref="I420" ca="1">_xlfn.IFS(H420&gt;=80,"OLD MAN",H420&gt;=60,"AGED",H420&gt;=30,"MIDDLE AGE",H420&gt;=18,"YOUNG")</f>
        <v>AGED</v>
      </c>
    </row>
    <row r="421" spans="3:9" x14ac:dyDescent="0.3">
      <c r="C421" s="4" t="s">
        <v>1597</v>
      </c>
      <c r="D421" s="4">
        <v>1952</v>
      </c>
      <c r="E421" s="4">
        <v>7</v>
      </c>
      <c r="F421" s="4">
        <v>29</v>
      </c>
      <c r="G421" s="15">
        <f t="shared" si="12"/>
        <v>19204</v>
      </c>
      <c r="H421">
        <f t="shared" ca="1" si="13"/>
        <v>73</v>
      </c>
      <c r="I421" t="str" cm="1">
        <f t="array" aca="1" ref="I421" ca="1">_xlfn.IFS(H421&gt;=80,"OLD MAN",H421&gt;=60,"AGED",H421&gt;=30,"MIDDLE AGE",H421&gt;=18,"YOUNG")</f>
        <v>AGED</v>
      </c>
    </row>
    <row r="422" spans="3:9" x14ac:dyDescent="0.3">
      <c r="C422" s="4" t="s">
        <v>1599</v>
      </c>
      <c r="D422" s="4">
        <v>1966</v>
      </c>
      <c r="E422" s="4">
        <v>9</v>
      </c>
      <c r="F422" s="4">
        <v>21</v>
      </c>
      <c r="G422" s="15">
        <f t="shared" si="12"/>
        <v>24371</v>
      </c>
      <c r="H422">
        <f t="shared" ca="1" si="13"/>
        <v>59</v>
      </c>
      <c r="I422" t="str" cm="1">
        <f t="array" aca="1" ref="I422" ca="1">_xlfn.IFS(H422&gt;=80,"OLD MAN",H422&gt;=60,"AGED",H422&gt;=30,"MIDDLE AGE",H422&gt;=18,"YOUNG")</f>
        <v>MIDDLE AGE</v>
      </c>
    </row>
    <row r="423" spans="3:9" x14ac:dyDescent="0.3">
      <c r="C423" s="4" t="s">
        <v>1606</v>
      </c>
      <c r="D423" s="4">
        <v>1934</v>
      </c>
      <c r="E423" s="4">
        <v>9</v>
      </c>
      <c r="F423" s="4">
        <v>15</v>
      </c>
      <c r="G423" s="15">
        <f t="shared" si="12"/>
        <v>12677</v>
      </c>
      <c r="H423">
        <f t="shared" ca="1" si="13"/>
        <v>91</v>
      </c>
      <c r="I423" t="str" cm="1">
        <f t="array" aca="1" ref="I423" ca="1">_xlfn.IFS(H423&gt;=80,"OLD MAN",H423&gt;=60,"AGED",H423&gt;=30,"MIDDLE AGE",H423&gt;=18,"YOUNG")</f>
        <v>OLD MAN</v>
      </c>
    </row>
    <row r="424" spans="3:9" x14ac:dyDescent="0.3">
      <c r="C424" s="4" t="s">
        <v>1608</v>
      </c>
      <c r="D424" s="4">
        <v>1930</v>
      </c>
      <c r="E424" s="4">
        <v>1</v>
      </c>
      <c r="F424" s="4">
        <v>1</v>
      </c>
      <c r="G424" s="15">
        <f t="shared" si="12"/>
        <v>10959</v>
      </c>
      <c r="H424">
        <f t="shared" ca="1" si="13"/>
        <v>96</v>
      </c>
      <c r="I424" t="str" cm="1">
        <f t="array" aca="1" ref="I424" ca="1">_xlfn.IFS(H424&gt;=80,"OLD MAN",H424&gt;=60,"AGED",H424&gt;=30,"MIDDLE AGE",H424&gt;=18,"YOUNG")</f>
        <v>OLD MAN</v>
      </c>
    </row>
    <row r="425" spans="3:9" x14ac:dyDescent="0.3">
      <c r="C425" s="4" t="s">
        <v>1611</v>
      </c>
      <c r="D425" s="4">
        <v>1951</v>
      </c>
      <c r="E425" s="4">
        <v>8</v>
      </c>
      <c r="F425" s="4">
        <v>5</v>
      </c>
      <c r="G425" s="15">
        <f t="shared" si="12"/>
        <v>18845</v>
      </c>
      <c r="H425">
        <f t="shared" ca="1" si="13"/>
        <v>74</v>
      </c>
      <c r="I425" t="str" cm="1">
        <f t="array" aca="1" ref="I425" ca="1">_xlfn.IFS(H425&gt;=80,"OLD MAN",H425&gt;=60,"AGED",H425&gt;=30,"MIDDLE AGE",H425&gt;=18,"YOUNG")</f>
        <v>AGED</v>
      </c>
    </row>
    <row r="426" spans="3:9" x14ac:dyDescent="0.3">
      <c r="C426" s="4" t="s">
        <v>1614</v>
      </c>
      <c r="D426" s="4">
        <v>1945</v>
      </c>
      <c r="E426" s="4">
        <v>12</v>
      </c>
      <c r="F426" s="4">
        <v>17</v>
      </c>
      <c r="G426" s="15">
        <f t="shared" si="12"/>
        <v>16788</v>
      </c>
      <c r="H426">
        <f t="shared" ca="1" si="13"/>
        <v>80</v>
      </c>
      <c r="I426" t="str" cm="1">
        <f t="array" aca="1" ref="I426" ca="1">_xlfn.IFS(H426&gt;=80,"OLD MAN",H426&gt;=60,"AGED",H426&gt;=30,"MIDDLE AGE",H426&gt;=18,"YOUNG")</f>
        <v>OLD MAN</v>
      </c>
    </row>
    <row r="427" spans="3:9" x14ac:dyDescent="0.3">
      <c r="C427" s="4" t="s">
        <v>1617</v>
      </c>
      <c r="D427" s="4">
        <v>1971</v>
      </c>
      <c r="E427" s="4">
        <v>11</v>
      </c>
      <c r="F427" s="4">
        <v>2</v>
      </c>
      <c r="G427" s="15">
        <f t="shared" si="12"/>
        <v>26239</v>
      </c>
      <c r="H427">
        <f t="shared" ca="1" si="13"/>
        <v>54</v>
      </c>
      <c r="I427" t="str" cm="1">
        <f t="array" aca="1" ref="I427" ca="1">_xlfn.IFS(H427&gt;=80,"OLD MAN",H427&gt;=60,"AGED",H427&gt;=30,"MIDDLE AGE",H427&gt;=18,"YOUNG")</f>
        <v>MIDDLE AGE</v>
      </c>
    </row>
    <row r="428" spans="3:9" x14ac:dyDescent="0.3">
      <c r="C428" s="4" t="s">
        <v>1619</v>
      </c>
      <c r="D428" s="4">
        <v>1964</v>
      </c>
      <c r="E428" s="4">
        <v>4</v>
      </c>
      <c r="F428" s="4">
        <v>1</v>
      </c>
      <c r="G428" s="15">
        <f t="shared" si="12"/>
        <v>23468</v>
      </c>
      <c r="H428">
        <f t="shared" ca="1" si="13"/>
        <v>62</v>
      </c>
      <c r="I428" t="str" cm="1">
        <f t="array" aca="1" ref="I428" ca="1">_xlfn.IFS(H428&gt;=80,"OLD MAN",H428&gt;=60,"AGED",H428&gt;=30,"MIDDLE AGE",H428&gt;=18,"YOUNG")</f>
        <v>AGED</v>
      </c>
    </row>
    <row r="429" spans="3:9" x14ac:dyDescent="0.3">
      <c r="C429" s="4" t="s">
        <v>1622</v>
      </c>
      <c r="D429" s="4">
        <v>1966</v>
      </c>
      <c r="E429" s="4">
        <v>8</v>
      </c>
      <c r="F429" s="4">
        <v>12</v>
      </c>
      <c r="G429" s="15">
        <f t="shared" si="12"/>
        <v>24331</v>
      </c>
      <c r="H429">
        <f t="shared" ca="1" si="13"/>
        <v>59</v>
      </c>
      <c r="I429" t="str" cm="1">
        <f t="array" aca="1" ref="I429" ca="1">_xlfn.IFS(H429&gt;=80,"OLD MAN",H429&gt;=60,"AGED",H429&gt;=30,"MIDDLE AGE",H429&gt;=18,"YOUNG")</f>
        <v>MIDDLE AGE</v>
      </c>
    </row>
    <row r="430" spans="3:9" x14ac:dyDescent="0.3">
      <c r="C430" s="4" t="s">
        <v>1623</v>
      </c>
      <c r="D430" s="4">
        <v>1943</v>
      </c>
      <c r="E430" s="4">
        <v>4</v>
      </c>
      <c r="F430" s="4">
        <v>6</v>
      </c>
      <c r="G430" s="15">
        <f t="shared" si="12"/>
        <v>15802</v>
      </c>
      <c r="H430">
        <f t="shared" ca="1" si="13"/>
        <v>83</v>
      </c>
      <c r="I430" t="str" cm="1">
        <f t="array" aca="1" ref="I430" ca="1">_xlfn.IFS(H430&gt;=80,"OLD MAN",H430&gt;=60,"AGED",H430&gt;=30,"MIDDLE AGE",H430&gt;=18,"YOUNG")</f>
        <v>OLD MAN</v>
      </c>
    </row>
    <row r="431" spans="3:9" x14ac:dyDescent="0.3">
      <c r="C431" s="4" t="s">
        <v>1627</v>
      </c>
      <c r="D431" s="4">
        <v>1970</v>
      </c>
      <c r="E431" s="4">
        <v>12</v>
      </c>
      <c r="F431" s="4">
        <v>1</v>
      </c>
      <c r="G431" s="15">
        <f t="shared" si="12"/>
        <v>25903</v>
      </c>
      <c r="H431">
        <f t="shared" ca="1" si="13"/>
        <v>55</v>
      </c>
      <c r="I431" t="str" cm="1">
        <f t="array" aca="1" ref="I431" ca="1">_xlfn.IFS(H431&gt;=80,"OLD MAN",H431&gt;=60,"AGED",H431&gt;=30,"MIDDLE AGE",H431&gt;=18,"YOUNG")</f>
        <v>MIDDLE AGE</v>
      </c>
    </row>
    <row r="432" spans="3:9" x14ac:dyDescent="0.3">
      <c r="C432" s="4" t="s">
        <v>1630</v>
      </c>
      <c r="D432" s="4">
        <v>1942</v>
      </c>
      <c r="E432" s="4">
        <v>3</v>
      </c>
      <c r="F432" s="4">
        <v>5</v>
      </c>
      <c r="G432" s="15">
        <f t="shared" si="12"/>
        <v>15405</v>
      </c>
      <c r="H432">
        <f t="shared" ca="1" si="13"/>
        <v>84</v>
      </c>
      <c r="I432" t="str" cm="1">
        <f t="array" aca="1" ref="I432" ca="1">_xlfn.IFS(H432&gt;=80,"OLD MAN",H432&gt;=60,"AGED",H432&gt;=30,"MIDDLE AGE",H432&gt;=18,"YOUNG")</f>
        <v>OLD MAN</v>
      </c>
    </row>
    <row r="433" spans="3:9" x14ac:dyDescent="0.3">
      <c r="C433" s="4" t="s">
        <v>1634</v>
      </c>
      <c r="D433" s="4">
        <v>1935</v>
      </c>
      <c r="E433" s="4">
        <v>9</v>
      </c>
      <c r="F433" s="4">
        <v>16</v>
      </c>
      <c r="G433" s="15">
        <f t="shared" si="12"/>
        <v>13043</v>
      </c>
      <c r="H433">
        <f t="shared" ca="1" si="13"/>
        <v>90</v>
      </c>
      <c r="I433" t="str" cm="1">
        <f t="array" aca="1" ref="I433" ca="1">_xlfn.IFS(H433&gt;=80,"OLD MAN",H433&gt;=60,"AGED",H433&gt;=30,"MIDDLE AGE",H433&gt;=18,"YOUNG")</f>
        <v>OLD MAN</v>
      </c>
    </row>
    <row r="434" spans="3:9" x14ac:dyDescent="0.3">
      <c r="C434" s="4" t="s">
        <v>1637</v>
      </c>
      <c r="D434" s="4">
        <v>1967</v>
      </c>
      <c r="E434" s="4">
        <v>1</v>
      </c>
      <c r="F434" s="4">
        <v>1</v>
      </c>
      <c r="G434" s="15">
        <f t="shared" si="12"/>
        <v>24473</v>
      </c>
      <c r="H434">
        <f t="shared" ca="1" si="13"/>
        <v>59</v>
      </c>
      <c r="I434" t="str" cm="1">
        <f t="array" aca="1" ref="I434" ca="1">_xlfn.IFS(H434&gt;=80,"OLD MAN",H434&gt;=60,"AGED",H434&gt;=30,"MIDDLE AGE",H434&gt;=18,"YOUNG")</f>
        <v>MIDDLE AGE</v>
      </c>
    </row>
    <row r="435" spans="3:9" x14ac:dyDescent="0.3">
      <c r="C435" s="4" t="s">
        <v>1640</v>
      </c>
      <c r="D435" s="4">
        <v>1958</v>
      </c>
      <c r="E435" s="4">
        <v>1</v>
      </c>
      <c r="F435" s="4">
        <v>7</v>
      </c>
      <c r="G435" s="15">
        <f t="shared" si="12"/>
        <v>21192</v>
      </c>
      <c r="H435">
        <f t="shared" ca="1" si="13"/>
        <v>68</v>
      </c>
      <c r="I435" t="str" cm="1">
        <f t="array" aca="1" ref="I435" ca="1">_xlfn.IFS(H435&gt;=80,"OLD MAN",H435&gt;=60,"AGED",H435&gt;=30,"MIDDLE AGE",H435&gt;=18,"YOUNG")</f>
        <v>AGED</v>
      </c>
    </row>
    <row r="436" spans="3:9" x14ac:dyDescent="0.3">
      <c r="C436" s="4" t="s">
        <v>1645</v>
      </c>
      <c r="D436" s="4">
        <v>1953</v>
      </c>
      <c r="E436" s="4">
        <v>9</v>
      </c>
      <c r="F436" s="4">
        <v>26</v>
      </c>
      <c r="G436" s="15">
        <f t="shared" si="12"/>
        <v>19628</v>
      </c>
      <c r="H436">
        <f t="shared" ca="1" si="13"/>
        <v>72</v>
      </c>
      <c r="I436" t="str" cm="1">
        <f t="array" aca="1" ref="I436" ca="1">_xlfn.IFS(H436&gt;=80,"OLD MAN",H436&gt;=60,"AGED",H436&gt;=30,"MIDDLE AGE",H436&gt;=18,"YOUNG")</f>
        <v>AGED</v>
      </c>
    </row>
    <row r="437" spans="3:9" x14ac:dyDescent="0.3">
      <c r="C437" s="4" t="s">
        <v>1647</v>
      </c>
      <c r="D437" s="4">
        <v>1971</v>
      </c>
      <c r="E437" s="4">
        <v>11</v>
      </c>
      <c r="F437" s="4">
        <v>1</v>
      </c>
      <c r="G437" s="15">
        <f t="shared" si="12"/>
        <v>26238</v>
      </c>
      <c r="H437">
        <f t="shared" ca="1" si="13"/>
        <v>54</v>
      </c>
      <c r="I437" t="str" cm="1">
        <f t="array" aca="1" ref="I437" ca="1">_xlfn.IFS(H437&gt;=80,"OLD MAN",H437&gt;=60,"AGED",H437&gt;=30,"MIDDLE AGE",H437&gt;=18,"YOUNG")</f>
        <v>MIDDLE AGE</v>
      </c>
    </row>
    <row r="438" spans="3:9" x14ac:dyDescent="0.3">
      <c r="C438" s="4" t="s">
        <v>1651</v>
      </c>
      <c r="D438" s="4">
        <v>1957</v>
      </c>
      <c r="E438" s="4">
        <v>10</v>
      </c>
      <c r="F438" s="4">
        <v>23</v>
      </c>
      <c r="G438" s="15">
        <f t="shared" si="12"/>
        <v>21116</v>
      </c>
      <c r="H438">
        <f t="shared" ca="1" si="13"/>
        <v>68</v>
      </c>
      <c r="I438" t="str" cm="1">
        <f t="array" aca="1" ref="I438" ca="1">_xlfn.IFS(H438&gt;=80,"OLD MAN",H438&gt;=60,"AGED",H438&gt;=30,"MIDDLE AGE",H438&gt;=18,"YOUNG")</f>
        <v>AGED</v>
      </c>
    </row>
    <row r="439" spans="3:9" x14ac:dyDescent="0.3">
      <c r="C439" s="4" t="s">
        <v>1655</v>
      </c>
      <c r="D439" s="4">
        <v>1964</v>
      </c>
      <c r="E439" s="4">
        <v>1</v>
      </c>
      <c r="F439" s="4">
        <v>1</v>
      </c>
      <c r="G439" s="15">
        <f t="shared" si="12"/>
        <v>23377</v>
      </c>
      <c r="H439">
        <f t="shared" ca="1" si="13"/>
        <v>62</v>
      </c>
      <c r="I439" t="str" cm="1">
        <f t="array" aca="1" ref="I439" ca="1">_xlfn.IFS(H439&gt;=80,"OLD MAN",H439&gt;=60,"AGED",H439&gt;=30,"MIDDLE AGE",H439&gt;=18,"YOUNG")</f>
        <v>AGED</v>
      </c>
    </row>
    <row r="440" spans="3:9" x14ac:dyDescent="0.3">
      <c r="C440" s="4" t="s">
        <v>1657</v>
      </c>
      <c r="D440" s="4">
        <v>1949</v>
      </c>
      <c r="E440" s="4">
        <v>6</v>
      </c>
      <c r="F440" s="4">
        <v>29</v>
      </c>
      <c r="G440" s="15">
        <f t="shared" si="12"/>
        <v>18078</v>
      </c>
      <c r="H440">
        <f t="shared" ca="1" si="13"/>
        <v>76</v>
      </c>
      <c r="I440" t="str" cm="1">
        <f t="array" aca="1" ref="I440" ca="1">_xlfn.IFS(H440&gt;=80,"OLD MAN",H440&gt;=60,"AGED",H440&gt;=30,"MIDDLE AGE",H440&gt;=18,"YOUNG")</f>
        <v>AGED</v>
      </c>
    </row>
    <row r="441" spans="3:9" x14ac:dyDescent="0.3">
      <c r="C441" s="4" t="s">
        <v>1662</v>
      </c>
      <c r="D441" s="4">
        <v>1957</v>
      </c>
      <c r="E441" s="4">
        <v>4</v>
      </c>
      <c r="F441" s="4">
        <v>12</v>
      </c>
      <c r="G441" s="15">
        <f t="shared" si="12"/>
        <v>20922</v>
      </c>
      <c r="H441">
        <f t="shared" ca="1" si="13"/>
        <v>69</v>
      </c>
      <c r="I441" t="str" cm="1">
        <f t="array" aca="1" ref="I441" ca="1">_xlfn.IFS(H441&gt;=80,"OLD MAN",H441&gt;=60,"AGED",H441&gt;=30,"MIDDLE AGE",H441&gt;=18,"YOUNG")</f>
        <v>AGED</v>
      </c>
    </row>
    <row r="442" spans="3:9" x14ac:dyDescent="0.3">
      <c r="C442" s="4" t="s">
        <v>1665</v>
      </c>
      <c r="D442" s="4">
        <v>1990</v>
      </c>
      <c r="E442" s="4">
        <v>8</v>
      </c>
      <c r="F442" s="4">
        <v>6</v>
      </c>
      <c r="G442" s="15">
        <f t="shared" si="12"/>
        <v>33091</v>
      </c>
      <c r="H442">
        <f t="shared" ca="1" si="13"/>
        <v>35</v>
      </c>
      <c r="I442" t="str" cm="1">
        <f t="array" aca="1" ref="I442" ca="1">_xlfn.IFS(H442&gt;=80,"OLD MAN",H442&gt;=60,"AGED",H442&gt;=30,"MIDDLE AGE",H442&gt;=18,"YOUNG")</f>
        <v>MIDDLE AGE</v>
      </c>
    </row>
    <row r="443" spans="3:9" x14ac:dyDescent="0.3">
      <c r="C443" s="4" t="s">
        <v>1668</v>
      </c>
      <c r="D443" s="4">
        <v>1988</v>
      </c>
      <c r="E443" s="4">
        <v>9</v>
      </c>
      <c r="F443" s="4">
        <v>9</v>
      </c>
      <c r="G443" s="15">
        <f t="shared" si="12"/>
        <v>32395</v>
      </c>
      <c r="H443">
        <f t="shared" ca="1" si="13"/>
        <v>37</v>
      </c>
      <c r="I443" t="str" cm="1">
        <f t="array" aca="1" ref="I443" ca="1">_xlfn.IFS(H443&gt;=80,"OLD MAN",H443&gt;=60,"AGED",H443&gt;=30,"MIDDLE AGE",H443&gt;=18,"YOUNG")</f>
        <v>MIDDLE AGE</v>
      </c>
    </row>
    <row r="444" spans="3:9" x14ac:dyDescent="0.3">
      <c r="C444" s="4" t="s">
        <v>1670</v>
      </c>
      <c r="D444" s="4">
        <v>1929</v>
      </c>
      <c r="E444" s="4">
        <v>4</v>
      </c>
      <c r="F444" s="4">
        <v>10</v>
      </c>
      <c r="G444" s="15">
        <f t="shared" si="12"/>
        <v>10693</v>
      </c>
      <c r="H444">
        <f t="shared" ca="1" si="13"/>
        <v>97</v>
      </c>
      <c r="I444" t="str" cm="1">
        <f t="array" aca="1" ref="I444" ca="1">_xlfn.IFS(H444&gt;=80,"OLD MAN",H444&gt;=60,"AGED",H444&gt;=30,"MIDDLE AGE",H444&gt;=18,"YOUNG")</f>
        <v>OLD MAN</v>
      </c>
    </row>
    <row r="445" spans="3:9" x14ac:dyDescent="0.3">
      <c r="C445" s="4" t="s">
        <v>1675</v>
      </c>
      <c r="D445" s="4">
        <v>1945</v>
      </c>
      <c r="E445" s="4">
        <v>5</v>
      </c>
      <c r="F445" s="4">
        <v>22</v>
      </c>
      <c r="G445" s="15">
        <f t="shared" si="12"/>
        <v>16579</v>
      </c>
      <c r="H445">
        <f t="shared" ca="1" si="13"/>
        <v>80</v>
      </c>
      <c r="I445" t="str" cm="1">
        <f t="array" aca="1" ref="I445" ca="1">_xlfn.IFS(H445&gt;=80,"OLD MAN",H445&gt;=60,"AGED",H445&gt;=30,"MIDDLE AGE",H445&gt;=18,"YOUNG")</f>
        <v>OLD MAN</v>
      </c>
    </row>
    <row r="446" spans="3:9" x14ac:dyDescent="0.3">
      <c r="C446" s="4" t="s">
        <v>1679</v>
      </c>
      <c r="D446" s="4">
        <v>1965</v>
      </c>
      <c r="E446" s="4">
        <v>2</v>
      </c>
      <c r="F446" s="4">
        <v>27</v>
      </c>
      <c r="G446" s="15">
        <f t="shared" si="12"/>
        <v>23800</v>
      </c>
      <c r="H446">
        <f t="shared" ca="1" si="13"/>
        <v>61</v>
      </c>
      <c r="I446" t="str" cm="1">
        <f t="array" aca="1" ref="I446" ca="1">_xlfn.IFS(H446&gt;=80,"OLD MAN",H446&gt;=60,"AGED",H446&gt;=30,"MIDDLE AGE",H446&gt;=18,"YOUNG")</f>
        <v>AGED</v>
      </c>
    </row>
    <row r="447" spans="3:9" x14ac:dyDescent="0.3">
      <c r="C447" s="4" t="s">
        <v>1682</v>
      </c>
      <c r="D447" s="4">
        <v>1928</v>
      </c>
      <c r="E447" s="4">
        <v>3</v>
      </c>
      <c r="F447" s="4">
        <v>20</v>
      </c>
      <c r="G447" s="15">
        <f t="shared" si="12"/>
        <v>10307</v>
      </c>
      <c r="H447">
        <f t="shared" ca="1" si="13"/>
        <v>98</v>
      </c>
      <c r="I447" t="str" cm="1">
        <f t="array" aca="1" ref="I447" ca="1">_xlfn.IFS(H447&gt;=80,"OLD MAN",H447&gt;=60,"AGED",H447&gt;=30,"MIDDLE AGE",H447&gt;=18,"YOUNG")</f>
        <v>OLD MAN</v>
      </c>
    </row>
    <row r="448" spans="3:9" x14ac:dyDescent="0.3">
      <c r="C448" s="4" t="s">
        <v>1683</v>
      </c>
      <c r="D448" s="4">
        <v>1955</v>
      </c>
      <c r="E448" s="4">
        <v>3</v>
      </c>
      <c r="F448" s="4">
        <v>1</v>
      </c>
      <c r="G448" s="15">
        <f t="shared" si="12"/>
        <v>20149</v>
      </c>
      <c r="H448">
        <f t="shared" ca="1" si="13"/>
        <v>71</v>
      </c>
      <c r="I448" t="str" cm="1">
        <f t="array" aca="1" ref="I448" ca="1">_xlfn.IFS(H448&gt;=80,"OLD MAN",H448&gt;=60,"AGED",H448&gt;=30,"MIDDLE AGE",H448&gt;=18,"YOUNG")</f>
        <v>AGED</v>
      </c>
    </row>
    <row r="449" spans="3:9" x14ac:dyDescent="0.3">
      <c r="C449" s="4" t="s">
        <v>1685</v>
      </c>
      <c r="D449" s="4">
        <v>1941</v>
      </c>
      <c r="E449" s="4">
        <v>6</v>
      </c>
      <c r="F449" s="4">
        <v>4</v>
      </c>
      <c r="G449" s="15">
        <f t="shared" si="12"/>
        <v>15131</v>
      </c>
      <c r="H449">
        <f t="shared" ca="1" si="13"/>
        <v>84</v>
      </c>
      <c r="I449" t="str" cm="1">
        <f t="array" aca="1" ref="I449" ca="1">_xlfn.IFS(H449&gt;=80,"OLD MAN",H449&gt;=60,"AGED",H449&gt;=30,"MIDDLE AGE",H449&gt;=18,"YOUNG")</f>
        <v>OLD MAN</v>
      </c>
    </row>
    <row r="450" spans="3:9" x14ac:dyDescent="0.3">
      <c r="C450" s="4" t="s">
        <v>1687</v>
      </c>
      <c r="D450" s="4">
        <v>1965</v>
      </c>
      <c r="E450" s="4">
        <v>1</v>
      </c>
      <c r="F450" s="4">
        <v>1</v>
      </c>
      <c r="G450" s="15">
        <f t="shared" si="12"/>
        <v>23743</v>
      </c>
      <c r="H450">
        <f t="shared" ca="1" si="13"/>
        <v>61</v>
      </c>
      <c r="I450" t="str" cm="1">
        <f t="array" aca="1" ref="I450" ca="1">_xlfn.IFS(H450&gt;=80,"OLD MAN",H450&gt;=60,"AGED",H450&gt;=30,"MIDDLE AGE",H450&gt;=18,"YOUNG")</f>
        <v>AGED</v>
      </c>
    </row>
    <row r="451" spans="3:9" x14ac:dyDescent="0.3">
      <c r="C451" s="4" t="s">
        <v>1691</v>
      </c>
      <c r="D451" s="4">
        <v>1956</v>
      </c>
      <c r="E451" s="4">
        <v>8</v>
      </c>
      <c r="F451" s="4">
        <v>21</v>
      </c>
      <c r="G451" s="15">
        <f t="shared" si="12"/>
        <v>20688</v>
      </c>
      <c r="H451">
        <f t="shared" ca="1" si="13"/>
        <v>69</v>
      </c>
      <c r="I451" t="str" cm="1">
        <f t="array" aca="1" ref="I451" ca="1">_xlfn.IFS(H451&gt;=80,"OLD MAN",H451&gt;=60,"AGED",H451&gt;=30,"MIDDLE AGE",H451&gt;=18,"YOUNG")</f>
        <v>AGED</v>
      </c>
    </row>
    <row r="452" spans="3:9" x14ac:dyDescent="0.3">
      <c r="C452" s="4" t="s">
        <v>1694</v>
      </c>
      <c r="D452" s="4">
        <v>1945</v>
      </c>
      <c r="E452" s="4">
        <v>1</v>
      </c>
      <c r="F452" s="4">
        <v>12</v>
      </c>
      <c r="G452" s="15">
        <f t="shared" ref="G452:G483" si="14">DATE(D452,E452,F452)</f>
        <v>16449</v>
      </c>
      <c r="H452">
        <f t="shared" ref="H452:H483" ca="1" si="15">DATEDIF(G452,TODAY(),"Y")</f>
        <v>81</v>
      </c>
      <c r="I452" t="str" cm="1">
        <f t="array" aca="1" ref="I452" ca="1">_xlfn.IFS(H452&gt;=80,"OLD MAN",H452&gt;=60,"AGED",H452&gt;=30,"MIDDLE AGE",H452&gt;=18,"YOUNG")</f>
        <v>OLD MAN</v>
      </c>
    </row>
    <row r="453" spans="3:9" x14ac:dyDescent="0.3">
      <c r="C453" s="4" t="s">
        <v>1698</v>
      </c>
      <c r="D453" s="4">
        <v>1944</v>
      </c>
      <c r="E453" s="4">
        <v>8</v>
      </c>
      <c r="F453" s="4">
        <v>22</v>
      </c>
      <c r="G453" s="15">
        <f t="shared" si="14"/>
        <v>16306</v>
      </c>
      <c r="H453">
        <f t="shared" ca="1" si="15"/>
        <v>81</v>
      </c>
      <c r="I453" t="str" cm="1">
        <f t="array" aca="1" ref="I453" ca="1">_xlfn.IFS(H453&gt;=80,"OLD MAN",H453&gt;=60,"AGED",H453&gt;=30,"MIDDLE AGE",H453&gt;=18,"YOUNG")</f>
        <v>OLD MAN</v>
      </c>
    </row>
    <row r="454" spans="3:9" x14ac:dyDescent="0.3">
      <c r="C454" s="4" t="s">
        <v>1701</v>
      </c>
      <c r="D454" s="4">
        <v>1943</v>
      </c>
      <c r="E454" s="4">
        <v>3</v>
      </c>
      <c r="F454" s="4">
        <v>20</v>
      </c>
      <c r="G454" s="15">
        <f t="shared" si="14"/>
        <v>15785</v>
      </c>
      <c r="H454">
        <f t="shared" ca="1" si="15"/>
        <v>83</v>
      </c>
      <c r="I454" t="str" cm="1">
        <f t="array" aca="1" ref="I454" ca="1">_xlfn.IFS(H454&gt;=80,"OLD MAN",H454&gt;=60,"AGED",H454&gt;=30,"MIDDLE AGE",H454&gt;=18,"YOUNG")</f>
        <v>OLD MAN</v>
      </c>
    </row>
    <row r="455" spans="3:9" x14ac:dyDescent="0.3">
      <c r="C455" s="4" t="s">
        <v>1706</v>
      </c>
      <c r="D455" s="4">
        <v>1942</v>
      </c>
      <c r="E455" s="4">
        <v>4</v>
      </c>
      <c r="F455" s="4">
        <v>15</v>
      </c>
      <c r="G455" s="15">
        <f t="shared" si="14"/>
        <v>15446</v>
      </c>
      <c r="H455">
        <f t="shared" ca="1" si="15"/>
        <v>84</v>
      </c>
      <c r="I455" t="str" cm="1">
        <f t="array" aca="1" ref="I455" ca="1">_xlfn.IFS(H455&gt;=80,"OLD MAN",H455&gt;=60,"AGED",H455&gt;=30,"MIDDLE AGE",H455&gt;=18,"YOUNG")</f>
        <v>OLD MAN</v>
      </c>
    </row>
    <row r="456" spans="3:9" x14ac:dyDescent="0.3">
      <c r="C456" s="4" t="s">
        <v>1710</v>
      </c>
      <c r="D456" s="4">
        <v>1955</v>
      </c>
      <c r="E456" s="4">
        <v>4</v>
      </c>
      <c r="F456" s="4">
        <v>1</v>
      </c>
      <c r="G456" s="15">
        <f t="shared" si="14"/>
        <v>20180</v>
      </c>
      <c r="H456">
        <f t="shared" ca="1" si="15"/>
        <v>71</v>
      </c>
      <c r="I456" t="str" cm="1">
        <f t="array" aca="1" ref="I456" ca="1">_xlfn.IFS(H456&gt;=80,"OLD MAN",H456&gt;=60,"AGED",H456&gt;=30,"MIDDLE AGE",H456&gt;=18,"YOUNG")</f>
        <v>AGED</v>
      </c>
    </row>
    <row r="457" spans="3:9" x14ac:dyDescent="0.3">
      <c r="C457" s="4" t="s">
        <v>1712</v>
      </c>
      <c r="D457" s="4">
        <v>1967</v>
      </c>
      <c r="E457" s="4">
        <v>1</v>
      </c>
      <c r="F457" s="4">
        <v>1</v>
      </c>
      <c r="G457" s="15">
        <f t="shared" si="14"/>
        <v>24473</v>
      </c>
      <c r="H457">
        <f t="shared" ca="1" si="15"/>
        <v>59</v>
      </c>
      <c r="I457" t="str" cm="1">
        <f t="array" aca="1" ref="I457" ca="1">_xlfn.IFS(H457&gt;=80,"OLD MAN",H457&gt;=60,"AGED",H457&gt;=30,"MIDDLE AGE",H457&gt;=18,"YOUNG")</f>
        <v>MIDDLE AGE</v>
      </c>
    </row>
    <row r="458" spans="3:9" x14ac:dyDescent="0.3">
      <c r="C458" s="4" t="s">
        <v>1714</v>
      </c>
      <c r="D458" s="4">
        <v>1946</v>
      </c>
      <c r="E458" s="4">
        <v>1</v>
      </c>
      <c r="F458" s="4">
        <v>1</v>
      </c>
      <c r="G458" s="15">
        <f t="shared" si="14"/>
        <v>16803</v>
      </c>
      <c r="H458">
        <f t="shared" ca="1" si="15"/>
        <v>80</v>
      </c>
      <c r="I458" t="str" cm="1">
        <f t="array" aca="1" ref="I458" ca="1">_xlfn.IFS(H458&gt;=80,"OLD MAN",H458&gt;=60,"AGED",H458&gt;=30,"MIDDLE AGE",H458&gt;=18,"YOUNG")</f>
        <v>OLD MAN</v>
      </c>
    </row>
    <row r="459" spans="3:9" x14ac:dyDescent="0.3">
      <c r="C459" s="4" t="s">
        <v>1717</v>
      </c>
      <c r="D459" s="4">
        <v>1941</v>
      </c>
      <c r="E459" s="4">
        <v>4</v>
      </c>
      <c r="F459" s="4">
        <v>19</v>
      </c>
      <c r="G459" s="15">
        <f t="shared" si="14"/>
        <v>15085</v>
      </c>
      <c r="H459">
        <f t="shared" ca="1" si="15"/>
        <v>85</v>
      </c>
      <c r="I459" t="str" cm="1">
        <f t="array" aca="1" ref="I459" ca="1">_xlfn.IFS(H459&gt;=80,"OLD MAN",H459&gt;=60,"AGED",H459&gt;=30,"MIDDLE AGE",H459&gt;=18,"YOUNG")</f>
        <v>OLD MAN</v>
      </c>
    </row>
    <row r="460" spans="3:9" x14ac:dyDescent="0.3">
      <c r="C460" s="4" t="s">
        <v>1720</v>
      </c>
      <c r="D460" s="4">
        <v>1980</v>
      </c>
      <c r="E460" s="4">
        <v>1</v>
      </c>
      <c r="F460" s="4">
        <v>6</v>
      </c>
      <c r="G460" s="15">
        <f t="shared" si="14"/>
        <v>29226</v>
      </c>
      <c r="H460">
        <f t="shared" ca="1" si="15"/>
        <v>46</v>
      </c>
      <c r="I460" t="str" cm="1">
        <f t="array" aca="1" ref="I460" ca="1">_xlfn.IFS(H460&gt;=80,"OLD MAN",H460&gt;=60,"AGED",H460&gt;=30,"MIDDLE AGE",H460&gt;=18,"YOUNG")</f>
        <v>MIDDLE AGE</v>
      </c>
    </row>
    <row r="461" spans="3:9" x14ac:dyDescent="0.3">
      <c r="C461" s="4" t="s">
        <v>1725</v>
      </c>
      <c r="D461" s="4">
        <v>1955</v>
      </c>
      <c r="E461" s="4">
        <v>2</v>
      </c>
      <c r="F461" s="4">
        <v>15</v>
      </c>
      <c r="G461" s="15">
        <f t="shared" si="14"/>
        <v>20135</v>
      </c>
      <c r="H461">
        <f t="shared" ca="1" si="15"/>
        <v>71</v>
      </c>
      <c r="I461" t="str" cm="1">
        <f t="array" aca="1" ref="I461" ca="1">_xlfn.IFS(H461&gt;=80,"OLD MAN",H461&gt;=60,"AGED",H461&gt;=30,"MIDDLE AGE",H461&gt;=18,"YOUNG")</f>
        <v>AGED</v>
      </c>
    </row>
    <row r="462" spans="3:9" x14ac:dyDescent="0.3">
      <c r="C462" s="4" t="s">
        <v>1728</v>
      </c>
      <c r="D462" s="4">
        <v>1965</v>
      </c>
      <c r="E462" s="4">
        <v>1</v>
      </c>
      <c r="F462" s="4">
        <v>1</v>
      </c>
      <c r="G462" s="15">
        <f t="shared" si="14"/>
        <v>23743</v>
      </c>
      <c r="H462">
        <f t="shared" ca="1" si="15"/>
        <v>61</v>
      </c>
      <c r="I462" t="str" cm="1">
        <f t="array" aca="1" ref="I462" ca="1">_xlfn.IFS(H462&gt;=80,"OLD MAN",H462&gt;=60,"AGED",H462&gt;=30,"MIDDLE AGE",H462&gt;=18,"YOUNG")</f>
        <v>AGED</v>
      </c>
    </row>
    <row r="463" spans="3:9" x14ac:dyDescent="0.3">
      <c r="C463" s="4" t="s">
        <v>1733</v>
      </c>
      <c r="D463" s="4">
        <v>1946</v>
      </c>
      <c r="E463" s="4">
        <v>2</v>
      </c>
      <c r="F463" s="4">
        <v>5</v>
      </c>
      <c r="G463" s="15">
        <f t="shared" si="14"/>
        <v>16838</v>
      </c>
      <c r="H463">
        <f t="shared" ca="1" si="15"/>
        <v>80</v>
      </c>
      <c r="I463" t="str" cm="1">
        <f t="array" aca="1" ref="I463" ca="1">_xlfn.IFS(H463&gt;=80,"OLD MAN",H463&gt;=60,"AGED",H463&gt;=30,"MIDDLE AGE",H463&gt;=18,"YOUNG")</f>
        <v>OLD MAN</v>
      </c>
    </row>
    <row r="464" spans="3:9" x14ac:dyDescent="0.3">
      <c r="C464" s="4" t="s">
        <v>1737</v>
      </c>
      <c r="D464" s="4">
        <v>1949</v>
      </c>
      <c r="E464" s="4">
        <v>5</v>
      </c>
      <c r="F464" s="4">
        <v>10</v>
      </c>
      <c r="G464" s="15">
        <f t="shared" si="14"/>
        <v>18028</v>
      </c>
      <c r="H464">
        <f t="shared" ca="1" si="15"/>
        <v>76</v>
      </c>
      <c r="I464" t="str" cm="1">
        <f t="array" aca="1" ref="I464" ca="1">_xlfn.IFS(H464&gt;=80,"OLD MAN",H464&gt;=60,"AGED",H464&gt;=30,"MIDDLE AGE",H464&gt;=18,"YOUNG")</f>
        <v>AGED</v>
      </c>
    </row>
    <row r="465" spans="3:9" x14ac:dyDescent="0.3">
      <c r="C465" s="4" t="s">
        <v>1740</v>
      </c>
      <c r="D465" s="4">
        <v>1952</v>
      </c>
      <c r="E465" s="4">
        <v>10</v>
      </c>
      <c r="F465" s="4">
        <v>4</v>
      </c>
      <c r="G465" s="15">
        <f t="shared" si="14"/>
        <v>19271</v>
      </c>
      <c r="H465">
        <f t="shared" ca="1" si="15"/>
        <v>73</v>
      </c>
      <c r="I465" t="str" cm="1">
        <f t="array" aca="1" ref="I465" ca="1">_xlfn.IFS(H465&gt;=80,"OLD MAN",H465&gt;=60,"AGED",H465&gt;=30,"MIDDLE AGE",H465&gt;=18,"YOUNG")</f>
        <v>AGED</v>
      </c>
    </row>
    <row r="466" spans="3:9" x14ac:dyDescent="0.3">
      <c r="C466" s="4" t="s">
        <v>1744</v>
      </c>
      <c r="D466" s="4">
        <v>1965</v>
      </c>
      <c r="E466" s="4">
        <v>3</v>
      </c>
      <c r="F466" s="4">
        <v>30</v>
      </c>
      <c r="G466" s="15">
        <f t="shared" si="14"/>
        <v>23831</v>
      </c>
      <c r="H466">
        <f t="shared" ca="1" si="15"/>
        <v>61</v>
      </c>
      <c r="I466" t="str" cm="1">
        <f t="array" aca="1" ref="I466" ca="1">_xlfn.IFS(H466&gt;=80,"OLD MAN",H466&gt;=60,"AGED",H466&gt;=30,"MIDDLE AGE",H466&gt;=18,"YOUNG")</f>
        <v>AGED</v>
      </c>
    </row>
    <row r="467" spans="3:9" x14ac:dyDescent="0.3">
      <c r="C467" s="4" t="s">
        <v>1747</v>
      </c>
      <c r="D467" s="4">
        <v>1963</v>
      </c>
      <c r="E467" s="4">
        <v>7</v>
      </c>
      <c r="F467" s="4">
        <v>13</v>
      </c>
      <c r="G467" s="15">
        <f t="shared" si="14"/>
        <v>23205</v>
      </c>
      <c r="H467">
        <f t="shared" ca="1" si="15"/>
        <v>62</v>
      </c>
      <c r="I467" t="str" cm="1">
        <f t="array" aca="1" ref="I467" ca="1">_xlfn.IFS(H467&gt;=80,"OLD MAN",H467&gt;=60,"AGED",H467&gt;=30,"MIDDLE AGE",H467&gt;=18,"YOUNG")</f>
        <v>AGED</v>
      </c>
    </row>
    <row r="468" spans="3:9" x14ac:dyDescent="0.3">
      <c r="C468" s="4" t="s">
        <v>1748</v>
      </c>
      <c r="D468" s="4">
        <v>1951</v>
      </c>
      <c r="E468" s="4">
        <v>10</v>
      </c>
      <c r="F468" s="4">
        <v>8</v>
      </c>
      <c r="G468" s="15">
        <f t="shared" si="14"/>
        <v>18909</v>
      </c>
      <c r="H468">
        <f t="shared" ca="1" si="15"/>
        <v>74</v>
      </c>
      <c r="I468" t="str" cm="1">
        <f t="array" aca="1" ref="I468" ca="1">_xlfn.IFS(H468&gt;=80,"OLD MAN",H468&gt;=60,"AGED",H468&gt;=30,"MIDDLE AGE",H468&gt;=18,"YOUNG")</f>
        <v>AGED</v>
      </c>
    </row>
    <row r="469" spans="3:9" x14ac:dyDescent="0.3">
      <c r="C469" s="4" t="s">
        <v>1751</v>
      </c>
      <c r="D469" s="4">
        <v>1973</v>
      </c>
      <c r="E469" s="4">
        <v>9</v>
      </c>
      <c r="F469" s="4">
        <v>20</v>
      </c>
      <c r="G469" s="15">
        <f t="shared" si="14"/>
        <v>26927</v>
      </c>
      <c r="H469">
        <f t="shared" ca="1" si="15"/>
        <v>52</v>
      </c>
      <c r="I469" t="str" cm="1">
        <f t="array" aca="1" ref="I469" ca="1">_xlfn.IFS(H469&gt;=80,"OLD MAN",H469&gt;=60,"AGED",H469&gt;=30,"MIDDLE AGE",H469&gt;=18,"YOUNG")</f>
        <v>MIDDLE AGE</v>
      </c>
    </row>
    <row r="470" spans="3:9" x14ac:dyDescent="0.3">
      <c r="C470" s="4" t="s">
        <v>1754</v>
      </c>
      <c r="D470" s="4">
        <v>1959</v>
      </c>
      <c r="E470" s="4">
        <v>1</v>
      </c>
      <c r="F470" s="4">
        <v>7</v>
      </c>
      <c r="G470" s="15">
        <f t="shared" si="14"/>
        <v>21557</v>
      </c>
      <c r="H470">
        <f t="shared" ca="1" si="15"/>
        <v>67</v>
      </c>
      <c r="I470" t="str" cm="1">
        <f t="array" aca="1" ref="I470" ca="1">_xlfn.IFS(H470&gt;=80,"OLD MAN",H470&gt;=60,"AGED",H470&gt;=30,"MIDDLE AGE",H470&gt;=18,"YOUNG")</f>
        <v>AGED</v>
      </c>
    </row>
    <row r="471" spans="3:9" x14ac:dyDescent="0.3">
      <c r="C471" s="4" t="s">
        <v>1756</v>
      </c>
      <c r="D471" s="4">
        <v>1962</v>
      </c>
      <c r="E471" s="4">
        <v>9</v>
      </c>
      <c r="F471" s="4">
        <v>26</v>
      </c>
      <c r="G471" s="15">
        <f t="shared" si="14"/>
        <v>22915</v>
      </c>
      <c r="H471">
        <f t="shared" ca="1" si="15"/>
        <v>63</v>
      </c>
      <c r="I471" t="str" cm="1">
        <f t="array" aca="1" ref="I471" ca="1">_xlfn.IFS(H471&gt;=80,"OLD MAN",H471&gt;=60,"AGED",H471&gt;=30,"MIDDLE AGE",H471&gt;=18,"YOUNG")</f>
        <v>AGED</v>
      </c>
    </row>
    <row r="472" spans="3:9" x14ac:dyDescent="0.3">
      <c r="C472" s="4" t="s">
        <v>1756</v>
      </c>
      <c r="D472" s="4">
        <v>1962</v>
      </c>
      <c r="E472" s="4">
        <v>9</v>
      </c>
      <c r="F472" s="4">
        <v>26</v>
      </c>
      <c r="G472" s="15">
        <f t="shared" si="14"/>
        <v>22915</v>
      </c>
      <c r="H472">
        <f t="shared" ca="1" si="15"/>
        <v>63</v>
      </c>
      <c r="I472" t="str" cm="1">
        <f t="array" aca="1" ref="I472" ca="1">_xlfn.IFS(H472&gt;=80,"OLD MAN",H472&gt;=60,"AGED",H472&gt;=30,"MIDDLE AGE",H472&gt;=18,"YOUNG")</f>
        <v>AGED</v>
      </c>
    </row>
    <row r="473" spans="3:9" x14ac:dyDescent="0.3">
      <c r="C473" s="4" t="s">
        <v>1763</v>
      </c>
      <c r="D473" s="4">
        <v>1963</v>
      </c>
      <c r="E473" s="4">
        <v>5</v>
      </c>
      <c r="F473" s="4">
        <v>7</v>
      </c>
      <c r="G473" s="15">
        <f t="shared" si="14"/>
        <v>23138</v>
      </c>
      <c r="H473">
        <f t="shared" ca="1" si="15"/>
        <v>62</v>
      </c>
      <c r="I473" t="str" cm="1">
        <f t="array" aca="1" ref="I473" ca="1">_xlfn.IFS(H473&gt;=80,"OLD MAN",H473&gt;=60,"AGED",H473&gt;=30,"MIDDLE AGE",H473&gt;=18,"YOUNG")</f>
        <v>AGED</v>
      </c>
    </row>
    <row r="474" spans="3:9" x14ac:dyDescent="0.3">
      <c r="C474" s="4" t="s">
        <v>1764</v>
      </c>
      <c r="D474" s="4">
        <v>1957</v>
      </c>
      <c r="E474" s="4">
        <v>7</v>
      </c>
      <c r="F474" s="4">
        <v>4</v>
      </c>
      <c r="G474" s="15">
        <f t="shared" si="14"/>
        <v>21005</v>
      </c>
      <c r="H474">
        <f t="shared" ca="1" si="15"/>
        <v>68</v>
      </c>
      <c r="I474" t="str" cm="1">
        <f t="array" aca="1" ref="I474" ca="1">_xlfn.IFS(H474&gt;=80,"OLD MAN",H474&gt;=60,"AGED",H474&gt;=30,"MIDDLE AGE",H474&gt;=18,"YOUNG")</f>
        <v>AGED</v>
      </c>
    </row>
    <row r="475" spans="3:9" x14ac:dyDescent="0.3">
      <c r="C475" s="4" t="s">
        <v>1766</v>
      </c>
      <c r="D475" s="4">
        <v>1944</v>
      </c>
      <c r="E475" s="4">
        <v>5</v>
      </c>
      <c r="F475" s="4">
        <v>13</v>
      </c>
      <c r="G475" s="15">
        <f t="shared" si="14"/>
        <v>16205</v>
      </c>
      <c r="H475">
        <f t="shared" ca="1" si="15"/>
        <v>81</v>
      </c>
      <c r="I475" t="str" cm="1">
        <f t="array" aca="1" ref="I475" ca="1">_xlfn.IFS(H475&gt;=80,"OLD MAN",H475&gt;=60,"AGED",H475&gt;=30,"MIDDLE AGE",H475&gt;=18,"YOUNG")</f>
        <v>OLD MAN</v>
      </c>
    </row>
    <row r="476" spans="3:9" x14ac:dyDescent="0.3">
      <c r="C476" s="4" t="s">
        <v>1769</v>
      </c>
      <c r="D476" s="4">
        <v>1950</v>
      </c>
      <c r="E476" s="4">
        <v>6</v>
      </c>
      <c r="F476" s="4">
        <v>6</v>
      </c>
      <c r="G476" s="15">
        <f t="shared" si="14"/>
        <v>18420</v>
      </c>
      <c r="H476">
        <f t="shared" ca="1" si="15"/>
        <v>75</v>
      </c>
      <c r="I476" t="str" cm="1">
        <f t="array" aca="1" ref="I476" ca="1">_xlfn.IFS(H476&gt;=80,"OLD MAN",H476&gt;=60,"AGED",H476&gt;=30,"MIDDLE AGE",H476&gt;=18,"YOUNG")</f>
        <v>AGED</v>
      </c>
    </row>
    <row r="477" spans="3:9" x14ac:dyDescent="0.3">
      <c r="C477" s="4" t="s">
        <v>1770</v>
      </c>
      <c r="D477" s="4">
        <v>1943</v>
      </c>
      <c r="E477" s="4">
        <v>1</v>
      </c>
      <c r="F477" s="4">
        <v>2</v>
      </c>
      <c r="G477" s="15">
        <f t="shared" si="14"/>
        <v>15708</v>
      </c>
      <c r="H477">
        <f t="shared" ca="1" si="15"/>
        <v>83</v>
      </c>
      <c r="I477" t="str" cm="1">
        <f t="array" aca="1" ref="I477" ca="1">_xlfn.IFS(H477&gt;=80,"OLD MAN",H477&gt;=60,"AGED",H477&gt;=30,"MIDDLE AGE",H477&gt;=18,"YOUNG")</f>
        <v>OLD MAN</v>
      </c>
    </row>
    <row r="478" spans="3:9" x14ac:dyDescent="0.3">
      <c r="C478" s="4" t="s">
        <v>1773</v>
      </c>
      <c r="D478" s="4">
        <v>1936</v>
      </c>
      <c r="E478" s="4">
        <v>12</v>
      </c>
      <c r="F478" s="4">
        <v>24</v>
      </c>
      <c r="G478" s="15">
        <f t="shared" si="14"/>
        <v>13508</v>
      </c>
      <c r="H478">
        <f t="shared" ca="1" si="15"/>
        <v>89</v>
      </c>
      <c r="I478" t="str" cm="1">
        <f t="array" aca="1" ref="I478" ca="1">_xlfn.IFS(H478&gt;=80,"OLD MAN",H478&gt;=60,"AGED",H478&gt;=30,"MIDDLE AGE",H478&gt;=18,"YOUNG")</f>
        <v>OLD MAN</v>
      </c>
    </row>
    <row r="479" spans="3:9" x14ac:dyDescent="0.3">
      <c r="C479" s="4" t="s">
        <v>1775</v>
      </c>
      <c r="D479" s="4">
        <v>1944</v>
      </c>
      <c r="E479" s="4">
        <v>8</v>
      </c>
      <c r="F479" s="4">
        <v>30</v>
      </c>
      <c r="G479" s="15">
        <f t="shared" si="14"/>
        <v>16314</v>
      </c>
      <c r="H479">
        <f t="shared" ca="1" si="15"/>
        <v>81</v>
      </c>
      <c r="I479" t="str" cm="1">
        <f t="array" aca="1" ref="I479" ca="1">_xlfn.IFS(H479&gt;=80,"OLD MAN",H479&gt;=60,"AGED",H479&gt;=30,"MIDDLE AGE",H479&gt;=18,"YOUNG")</f>
        <v>OLD MAN</v>
      </c>
    </row>
    <row r="480" spans="3:9" x14ac:dyDescent="0.3">
      <c r="C480" s="4" t="s">
        <v>1779</v>
      </c>
      <c r="D480" s="4">
        <v>1960</v>
      </c>
      <c r="E480" s="4">
        <v>5</v>
      </c>
      <c r="F480" s="4">
        <v>22</v>
      </c>
      <c r="G480" s="15">
        <f t="shared" si="14"/>
        <v>22058</v>
      </c>
      <c r="H480">
        <f t="shared" ca="1" si="15"/>
        <v>65</v>
      </c>
      <c r="I480" t="str" cm="1">
        <f t="array" aca="1" ref="I480" ca="1">_xlfn.IFS(H480&gt;=80,"OLD MAN",H480&gt;=60,"AGED",H480&gt;=30,"MIDDLE AGE",H480&gt;=18,"YOUNG")</f>
        <v>AGED</v>
      </c>
    </row>
    <row r="481" spans="3:9" x14ac:dyDescent="0.3">
      <c r="C481" s="4" t="s">
        <v>1782</v>
      </c>
      <c r="D481" s="4">
        <v>1941</v>
      </c>
      <c r="E481" s="4">
        <v>5</v>
      </c>
      <c r="F481" s="4">
        <v>19</v>
      </c>
      <c r="G481" s="15">
        <f t="shared" si="14"/>
        <v>15115</v>
      </c>
      <c r="H481">
        <f t="shared" ca="1" si="15"/>
        <v>84</v>
      </c>
      <c r="I481" t="str" cm="1">
        <f t="array" aca="1" ref="I481" ca="1">_xlfn.IFS(H481&gt;=80,"OLD MAN",H481&gt;=60,"AGED",H481&gt;=30,"MIDDLE AGE",H481&gt;=18,"YOUNG")</f>
        <v>OLD MAN</v>
      </c>
    </row>
    <row r="482" spans="3:9" x14ac:dyDescent="0.3">
      <c r="C482" s="4" t="s">
        <v>1786</v>
      </c>
      <c r="D482" s="4">
        <v>1945</v>
      </c>
      <c r="E482" s="4">
        <v>6</v>
      </c>
      <c r="F482" s="4">
        <v>2</v>
      </c>
      <c r="G482" s="15">
        <f t="shared" si="14"/>
        <v>16590</v>
      </c>
      <c r="H482">
        <f t="shared" ca="1" si="15"/>
        <v>80</v>
      </c>
      <c r="I482" t="str" cm="1">
        <f t="array" aca="1" ref="I482" ca="1">_xlfn.IFS(H482&gt;=80,"OLD MAN",H482&gt;=60,"AGED",H482&gt;=30,"MIDDLE AGE",H482&gt;=18,"YOUNG")</f>
        <v>OLD MAN</v>
      </c>
    </row>
    <row r="483" spans="3:9" x14ac:dyDescent="0.3">
      <c r="C483" s="4" t="s">
        <v>1791</v>
      </c>
      <c r="D483" s="4">
        <v>1955</v>
      </c>
      <c r="E483" s="4">
        <v>11</v>
      </c>
      <c r="F483" s="4">
        <v>15</v>
      </c>
      <c r="G483" s="15">
        <f t="shared" si="14"/>
        <v>20408</v>
      </c>
      <c r="H483">
        <f t="shared" ca="1" si="15"/>
        <v>70</v>
      </c>
      <c r="I483" t="str" cm="1">
        <f t="array" aca="1" ref="I483" ca="1">_xlfn.IFS(H483&gt;=80,"OLD MAN",H483&gt;=60,"AGED",H483&gt;=30,"MIDDLE AGE",H483&gt;=18,"YOUNG")</f>
        <v>AGED</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Billionaries_Data</vt:lpstr>
      <vt:lpstr>Sheet3</vt:lpstr>
      <vt:lpstr>DASH BOARD</vt:lpstr>
      <vt:lpstr>Sheet2</vt:lpstr>
      <vt:lpstr>Sheet1</vt:lpstr>
      <vt:lpstr>DOB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BINJUS JACOB</cp:lastModifiedBy>
  <dcterms:created xsi:type="dcterms:W3CDTF">2024-04-01T06:54:26Z</dcterms:created>
  <dcterms:modified xsi:type="dcterms:W3CDTF">2026-04-20T06:14:28Z</dcterms:modified>
</cp:coreProperties>
</file>